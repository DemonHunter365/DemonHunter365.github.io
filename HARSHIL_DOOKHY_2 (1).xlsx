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8028329D05AF68/Documents/"/>
    </mc:Choice>
  </mc:AlternateContent>
  <xr:revisionPtr revIDLastSave="1477" documentId="8_{128D46AA-3839-4A35-A795-8718D1EFD442}" xr6:coauthVersionLast="47" xr6:coauthVersionMax="47" xr10:uidLastSave="{F65B837E-121C-4488-8A10-210F872B30EF}"/>
  <bookViews>
    <workbookView xWindow="-108" yWindow="-108" windowWidth="23256" windowHeight="13176" firstSheet="8" activeTab="12" xr2:uid="{1D2515DA-6E07-40E4-A0E8-0BA35E738DC0}"/>
  </bookViews>
  <sheets>
    <sheet name="Cover Page" sheetId="1" r:id="rId1"/>
    <sheet name="DETERMINANT AND INVERSE MATRIX" sheetId="2" r:id="rId2"/>
    <sheet name="2x2 Row Ops" sheetId="16" r:id="rId3"/>
    <sheet name="3x3 Row Ops" sheetId="17" r:id="rId4"/>
    <sheet name="4x4 Row Ops" sheetId="18" r:id="rId5"/>
    <sheet name="ROW OPERATIONS" sheetId="12" r:id="rId6"/>
    <sheet name="CROUT METHOD" sheetId="4" r:id="rId7"/>
    <sheet name="DOLITTLE METHOD" sheetId="5" r:id="rId8"/>
    <sheet name="SOLVABILITY" sheetId="13" r:id="rId9"/>
    <sheet name="GAUSSE-SEIDEL" sheetId="7" r:id="rId10"/>
    <sheet name="GAUSSE-JACOBI" sheetId="8" r:id="rId11"/>
    <sheet name="2x2 Matrix Power" sheetId="15" r:id="rId12"/>
    <sheet name="3x3 MATRIX POWER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2" l="1"/>
  <c r="L40" i="2"/>
  <c r="M39" i="2"/>
  <c r="L39" i="2"/>
  <c r="L33" i="2"/>
  <c r="B13" i="2"/>
  <c r="E60" i="13"/>
  <c r="U13" i="25"/>
  <c r="V13" i="25"/>
  <c r="W13" i="25"/>
  <c r="U14" i="25"/>
  <c r="V14" i="25"/>
  <c r="W14" i="25"/>
  <c r="U15" i="25"/>
  <c r="V15" i="25"/>
  <c r="W15" i="25"/>
  <c r="U17" i="25"/>
  <c r="U30" i="25" s="1"/>
  <c r="U33" i="25" s="1"/>
  <c r="U35" i="25" s="1"/>
  <c r="V17" i="25"/>
  <c r="W17" i="25"/>
  <c r="U18" i="25"/>
  <c r="V18" i="25"/>
  <c r="W18" i="25"/>
  <c r="U19" i="25"/>
  <c r="V19" i="25"/>
  <c r="W19" i="25"/>
  <c r="Y31" i="25" s="1"/>
  <c r="X30" i="25"/>
  <c r="W33" i="25" s="1"/>
  <c r="Y30" i="25"/>
  <c r="AD30" i="25"/>
  <c r="AG30" i="25"/>
  <c r="AH30" i="25"/>
  <c r="AM30" i="25"/>
  <c r="AP30" i="25"/>
  <c r="AQ30" i="25"/>
  <c r="X31" i="25"/>
  <c r="AG31" i="25"/>
  <c r="AH31" i="25"/>
  <c r="AP31" i="25"/>
  <c r="AQ31" i="25"/>
  <c r="Y33" i="25"/>
  <c r="AB33" i="25"/>
  <c r="AC33" i="25"/>
  <c r="AD33" i="25"/>
  <c r="AE33" i="25"/>
  <c r="AF33" i="25"/>
  <c r="AG33" i="25"/>
  <c r="AI33" i="25"/>
  <c r="AJ33" i="25"/>
  <c r="AK33" i="25"/>
  <c r="AM33" i="25"/>
  <c r="AN33" i="25"/>
  <c r="Y35" i="25"/>
  <c r="Z35" i="25"/>
  <c r="AC35" i="25"/>
  <c r="U37" i="25"/>
  <c r="Z37" i="25"/>
  <c r="AB90" i="25"/>
  <c r="V123" i="25"/>
  <c r="W123" i="25"/>
  <c r="X123" i="25"/>
  <c r="V124" i="25"/>
  <c r="W124" i="25"/>
  <c r="X124" i="25"/>
  <c r="AR141" i="25" s="1"/>
  <c r="AQ147" i="25" s="1"/>
  <c r="AQ153" i="25" s="1"/>
  <c r="AQ157" i="25" s="1"/>
  <c r="AQ161" i="25" s="1"/>
  <c r="V125" i="25"/>
  <c r="W125" i="25"/>
  <c r="X125" i="25"/>
  <c r="V35" i="25" s="1"/>
  <c r="V127" i="25"/>
  <c r="W127" i="25"/>
  <c r="X127" i="25"/>
  <c r="V128" i="25"/>
  <c r="W128" i="25"/>
  <c r="X128" i="25"/>
  <c r="V129" i="25"/>
  <c r="AF142" i="25" s="1"/>
  <c r="AE148" i="25" s="1"/>
  <c r="W129" i="25"/>
  <c r="X129" i="25"/>
  <c r="V131" i="25"/>
  <c r="W132" i="25"/>
  <c r="X133" i="25"/>
  <c r="W140" i="25"/>
  <c r="V146" i="25" s="1"/>
  <c r="X140" i="25"/>
  <c r="W146" i="25" s="1"/>
  <c r="AG140" i="25"/>
  <c r="AF146" i="25" s="1"/>
  <c r="AH140" i="25"/>
  <c r="AG146" i="25" s="1"/>
  <c r="AQ140" i="25"/>
  <c r="AP146" i="25" s="1"/>
  <c r="AR140" i="25"/>
  <c r="AQ146" i="25" s="1"/>
  <c r="V141" i="25"/>
  <c r="U147" i="25" s="1"/>
  <c r="U153" i="25" s="1"/>
  <c r="U157" i="25" s="1"/>
  <c r="U161" i="25" s="1"/>
  <c r="X141" i="25"/>
  <c r="W147" i="25" s="1"/>
  <c r="W153" i="25" s="1"/>
  <c r="W157" i="25" s="1"/>
  <c r="W161" i="25" s="1"/>
  <c r="AF141" i="25"/>
  <c r="AE147" i="25" s="1"/>
  <c r="AE153" i="25" s="1"/>
  <c r="AE157" i="25" s="1"/>
  <c r="AE161" i="25" s="1"/>
  <c r="AH141" i="25"/>
  <c r="AG147" i="25" s="1"/>
  <c r="AG153" i="25" s="1"/>
  <c r="AG157" i="25" s="1"/>
  <c r="AG161" i="25" s="1"/>
  <c r="AP141" i="25"/>
  <c r="AO147" i="25" s="1"/>
  <c r="AO153" i="25" s="1"/>
  <c r="AO157" i="25" s="1"/>
  <c r="AO161" i="25" s="1"/>
  <c r="X146" i="25"/>
  <c r="AH146" i="25"/>
  <c r="AR146" i="25"/>
  <c r="X147" i="25"/>
  <c r="AH147" i="25"/>
  <c r="AR147" i="25"/>
  <c r="X148" i="25"/>
  <c r="AH148" i="25"/>
  <c r="AR148" i="25"/>
  <c r="X153" i="25"/>
  <c r="AH153" i="25"/>
  <c r="AR153" i="25"/>
  <c r="X157" i="25"/>
  <c r="X161" i="25" s="1"/>
  <c r="AH157" i="25"/>
  <c r="AR157" i="25"/>
  <c r="W235" i="25"/>
  <c r="X235" i="25"/>
  <c r="V236" i="25"/>
  <c r="X236" i="25"/>
  <c r="V237" i="25"/>
  <c r="W237" i="25"/>
  <c r="U259" i="25"/>
  <c r="AB262" i="25"/>
  <c r="AC262" i="25"/>
  <c r="AA263" i="25"/>
  <c r="AC263" i="25"/>
  <c r="AA264" i="25"/>
  <c r="AB264" i="25"/>
  <c r="F117" i="15"/>
  <c r="G116" i="15"/>
  <c r="A113" i="15"/>
  <c r="B98" i="15"/>
  <c r="C97" i="15"/>
  <c r="C92" i="15"/>
  <c r="D117" i="15" s="1"/>
  <c r="B92" i="15"/>
  <c r="C117" i="15" s="1"/>
  <c r="J89" i="15"/>
  <c r="I93" i="15" s="1"/>
  <c r="I96" i="15" s="1"/>
  <c r="I99" i="15" s="1"/>
  <c r="I89" i="15"/>
  <c r="J93" i="15" s="1"/>
  <c r="J96" i="15" s="1"/>
  <c r="I100" i="15" s="1"/>
  <c r="C87" i="15"/>
  <c r="B87" i="15"/>
  <c r="C86" i="15"/>
  <c r="B86" i="15"/>
  <c r="A68" i="15"/>
  <c r="A52" i="15"/>
  <c r="C11" i="15"/>
  <c r="C14" i="15" s="1"/>
  <c r="B39" i="15" s="1"/>
  <c r="B11" i="15"/>
  <c r="B14" i="15" s="1"/>
  <c r="C10" i="15"/>
  <c r="C13" i="15" s="1"/>
  <c r="B38" i="15" s="1"/>
  <c r="B10" i="15"/>
  <c r="F29" i="4"/>
  <c r="F23" i="4"/>
  <c r="F28" i="4" s="1"/>
  <c r="F22" i="4"/>
  <c r="F27" i="4" s="1"/>
  <c r="A55" i="13"/>
  <c r="B55" i="13"/>
  <c r="A56" i="13"/>
  <c r="B56" i="13"/>
  <c r="A57" i="13"/>
  <c r="B57" i="13"/>
  <c r="C55" i="13"/>
  <c r="C56" i="13"/>
  <c r="C57" i="13"/>
  <c r="C49" i="13"/>
  <c r="C50" i="13"/>
  <c r="C51" i="13"/>
  <c r="B49" i="13"/>
  <c r="B50" i="13"/>
  <c r="B51" i="13"/>
  <c r="A49" i="13"/>
  <c r="C53" i="13" s="1"/>
  <c r="A50" i="13"/>
  <c r="A51" i="13"/>
  <c r="B43" i="13"/>
  <c r="C43" i="13"/>
  <c r="B44" i="13"/>
  <c r="C44" i="13"/>
  <c r="B45" i="13"/>
  <c r="C45" i="13"/>
  <c r="A43" i="13"/>
  <c r="A44" i="13"/>
  <c r="A45" i="13"/>
  <c r="C41" i="13"/>
  <c r="G9" i="2"/>
  <c r="L10" i="2"/>
  <c r="D9" i="17" a="1"/>
  <c r="D9" i="17" s="1"/>
  <c r="B9" i="18"/>
  <c r="C9" i="18"/>
  <c r="D9" i="18"/>
  <c r="E9" i="18"/>
  <c r="B10" i="18"/>
  <c r="C10" i="18"/>
  <c r="D10" i="18"/>
  <c r="E10" i="18"/>
  <c r="B11" i="18"/>
  <c r="C11" i="18"/>
  <c r="D11" i="18"/>
  <c r="E11" i="18"/>
  <c r="B12" i="18"/>
  <c r="C12" i="18"/>
  <c r="D12" i="18"/>
  <c r="E12" i="18"/>
  <c r="C14" i="18"/>
  <c r="B8" i="17"/>
  <c r="C8" i="17"/>
  <c r="D8" i="17"/>
  <c r="B9" i="17"/>
  <c r="C9" i="17"/>
  <c r="B10" i="17"/>
  <c r="C10" i="17"/>
  <c r="D10" i="17"/>
  <c r="C12" i="17"/>
  <c r="B7" i="16"/>
  <c r="C7" i="16"/>
  <c r="B8" i="16"/>
  <c r="C8" i="16"/>
  <c r="C10" i="16"/>
  <c r="R7" i="15"/>
  <c r="R8" i="15"/>
  <c r="R9" i="15" s="1"/>
  <c r="O13" i="15"/>
  <c r="O14" i="15"/>
  <c r="G4" i="12"/>
  <c r="H4" i="12"/>
  <c r="I4" i="12"/>
  <c r="M4" i="12"/>
  <c r="M14" i="12" s="1"/>
  <c r="N4" i="12"/>
  <c r="N14" i="12" s="1"/>
  <c r="O4" i="12"/>
  <c r="O14" i="12" s="1"/>
  <c r="O19" i="12" s="1"/>
  <c r="H5" i="12"/>
  <c r="I5" i="12"/>
  <c r="M5" i="12"/>
  <c r="M15" i="12" s="1"/>
  <c r="M20" i="12" s="1"/>
  <c r="N5" i="12"/>
  <c r="N15" i="12" s="1"/>
  <c r="N20" i="12" s="1"/>
  <c r="O5" i="12"/>
  <c r="O15" i="12" s="1"/>
  <c r="O20" i="12" s="1"/>
  <c r="I6" i="12"/>
  <c r="I16" i="12" s="1"/>
  <c r="M6" i="12"/>
  <c r="M16" i="12" s="1"/>
  <c r="M21" i="12" s="1"/>
  <c r="N6" i="12"/>
  <c r="N16" i="12" s="1"/>
  <c r="N21" i="12" s="1"/>
  <c r="O6" i="12"/>
  <c r="O16" i="12" s="1"/>
  <c r="O21" i="12" s="1"/>
  <c r="G9" i="12"/>
  <c r="G19" i="12" s="1"/>
  <c r="H9" i="12"/>
  <c r="I9" i="12"/>
  <c r="I14" i="12" s="1"/>
  <c r="I19" i="12" s="1"/>
  <c r="M9" i="12"/>
  <c r="N9" i="12"/>
  <c r="O9" i="12"/>
  <c r="G10" i="12"/>
  <c r="G15" i="12" s="1"/>
  <c r="G20" i="12" s="1"/>
  <c r="H10" i="12"/>
  <c r="H15" i="12" s="1"/>
  <c r="H20" i="12" s="1"/>
  <c r="I10" i="12"/>
  <c r="I15" i="12" s="1"/>
  <c r="I20" i="12" s="1"/>
  <c r="M10" i="12"/>
  <c r="N10" i="12"/>
  <c r="O10" i="12"/>
  <c r="G11" i="12"/>
  <c r="G21" i="12" s="1"/>
  <c r="H11" i="12"/>
  <c r="I11" i="12"/>
  <c r="M11" i="12"/>
  <c r="N11" i="12"/>
  <c r="O11" i="12"/>
  <c r="G14" i="12"/>
  <c r="H14" i="12"/>
  <c r="H19" i="12" s="1"/>
  <c r="M11" i="8"/>
  <c r="L11" i="8"/>
  <c r="K12" i="8" s="1"/>
  <c r="K11" i="8"/>
  <c r="K14" i="7"/>
  <c r="L14" i="7"/>
  <c r="M13" i="7"/>
  <c r="L13" i="7"/>
  <c r="K13" i="7"/>
  <c r="B16" i="7"/>
  <c r="B56" i="5"/>
  <c r="L56" i="5" s="1"/>
  <c r="D74" i="5" s="1"/>
  <c r="C56" i="5"/>
  <c r="M56" i="5" s="1"/>
  <c r="E74" i="5" s="1"/>
  <c r="D56" i="5"/>
  <c r="N56" i="5" s="1"/>
  <c r="F74" i="5" s="1"/>
  <c r="B57" i="5"/>
  <c r="G57" i="5" s="1"/>
  <c r="E63" i="5" s="1"/>
  <c r="C57" i="5"/>
  <c r="D57" i="5"/>
  <c r="N57" i="5" s="1"/>
  <c r="F75" i="5" s="1"/>
  <c r="B58" i="5"/>
  <c r="C58" i="5"/>
  <c r="D58" i="5"/>
  <c r="D75" i="5"/>
  <c r="D76" i="5"/>
  <c r="E76" i="5"/>
  <c r="E62" i="5"/>
  <c r="F62" i="5"/>
  <c r="G62" i="5"/>
  <c r="F63" i="5"/>
  <c r="G63" i="5"/>
  <c r="G64" i="5"/>
  <c r="C62" i="5"/>
  <c r="C63" i="5"/>
  <c r="C64" i="5"/>
  <c r="F33" i="5"/>
  <c r="F32" i="5"/>
  <c r="M31" i="5"/>
  <c r="L31" i="5"/>
  <c r="L42" i="5" s="1"/>
  <c r="K31" i="5"/>
  <c r="K42" i="5" s="1"/>
  <c r="H42" i="5"/>
  <c r="F43" i="5"/>
  <c r="D74" i="4"/>
  <c r="D75" i="4"/>
  <c r="E75" i="4"/>
  <c r="D76" i="4"/>
  <c r="E76" i="4"/>
  <c r="F76" i="4"/>
  <c r="J61" i="4"/>
  <c r="J60" i="4"/>
  <c r="J62" i="4"/>
  <c r="E60" i="4"/>
  <c r="F60" i="4"/>
  <c r="F61" i="4"/>
  <c r="D51" i="4"/>
  <c r="H51" i="4" s="1"/>
  <c r="D60" i="4" s="1"/>
  <c r="E51" i="4"/>
  <c r="M51" i="4" s="1"/>
  <c r="E74" i="4" s="1"/>
  <c r="F51" i="4"/>
  <c r="N51" i="4" s="1"/>
  <c r="F74" i="4" s="1"/>
  <c r="D52" i="4"/>
  <c r="H52" i="4" s="1"/>
  <c r="D61" i="4" s="1"/>
  <c r="E52" i="4"/>
  <c r="I52" i="4" s="1"/>
  <c r="E61" i="4" s="1"/>
  <c r="F52" i="4"/>
  <c r="N52" i="4" s="1"/>
  <c r="F75" i="4" s="1"/>
  <c r="D53" i="4"/>
  <c r="H53" i="4" s="1"/>
  <c r="D62" i="4" s="1"/>
  <c r="E53" i="4"/>
  <c r="I53" i="4" s="1"/>
  <c r="E62" i="4" s="1"/>
  <c r="F53" i="4"/>
  <c r="J53" i="4" s="1"/>
  <c r="F62" i="4" s="1"/>
  <c r="F24" i="4"/>
  <c r="C41" i="2"/>
  <c r="G31" i="2" s="1"/>
  <c r="B41" i="2"/>
  <c r="G30" i="2" s="1"/>
  <c r="A41" i="2"/>
  <c r="G29" i="2" s="1"/>
  <c r="C40" i="2"/>
  <c r="F31" i="2" s="1"/>
  <c r="B40" i="2"/>
  <c r="F30" i="2" s="1"/>
  <c r="A40" i="2"/>
  <c r="F29" i="2" s="1"/>
  <c r="C39" i="2"/>
  <c r="E31" i="2" s="1"/>
  <c r="B39" i="2"/>
  <c r="E30" i="2" s="1"/>
  <c r="A39" i="2"/>
  <c r="E29" i="2" s="1"/>
  <c r="B36" i="2"/>
  <c r="D16" i="8"/>
  <c r="C16" i="8"/>
  <c r="B17" i="8" s="1"/>
  <c r="B16" i="8"/>
  <c r="C16" i="7"/>
  <c r="L44" i="5"/>
  <c r="K44" i="5"/>
  <c r="K43" i="5"/>
  <c r="H43" i="5"/>
  <c r="G42" i="5"/>
  <c r="H41" i="5"/>
  <c r="G41" i="5"/>
  <c r="F41" i="5"/>
  <c r="H28" i="4"/>
  <c r="H27" i="4"/>
  <c r="G27" i="4"/>
  <c r="B8" i="2"/>
  <c r="G19" i="2"/>
  <c r="G18" i="2"/>
  <c r="G12" i="2"/>
  <c r="U39" i="25" l="1"/>
  <c r="W47" i="25"/>
  <c r="W48" i="25"/>
  <c r="W67" i="25" s="1"/>
  <c r="AE80" i="25" s="1"/>
  <c r="W49" i="25"/>
  <c r="AD35" i="25"/>
  <c r="AE37" i="25"/>
  <c r="V142" i="25"/>
  <c r="U148" i="25" s="1"/>
  <c r="AP142" i="25"/>
  <c r="AO148" i="25" s="1"/>
  <c r="W142" i="25"/>
  <c r="V148" i="25" s="1"/>
  <c r="AQ142" i="25"/>
  <c r="AP148" i="25" s="1"/>
  <c r="AG142" i="25"/>
  <c r="AF148" i="25" s="1"/>
  <c r="AH161" i="25"/>
  <c r="AR161" i="25"/>
  <c r="G36" i="2"/>
  <c r="F36" i="2"/>
  <c r="F35" i="2"/>
  <c r="G35" i="2"/>
  <c r="G34" i="2"/>
  <c r="F34" i="2"/>
  <c r="E36" i="2"/>
  <c r="E35" i="2"/>
  <c r="E34" i="2"/>
  <c r="U9" i="15"/>
  <c r="V9" i="15"/>
  <c r="D16" i="15"/>
  <c r="C23" i="15" s="1"/>
  <c r="A39" i="15"/>
  <c r="B43" i="15"/>
  <c r="C48" i="15" s="1"/>
  <c r="C50" i="15" s="1"/>
  <c r="B59" i="15"/>
  <c r="C22" i="15"/>
  <c r="B13" i="15"/>
  <c r="L32" i="5"/>
  <c r="L43" i="5" s="1"/>
  <c r="F42" i="5"/>
  <c r="F66" i="4"/>
  <c r="M57" i="5"/>
  <c r="C47" i="13"/>
  <c r="C60" i="13"/>
  <c r="L12" i="8"/>
  <c r="M13" i="8" s="1"/>
  <c r="M12" i="8"/>
  <c r="L13" i="8" s="1"/>
  <c r="K14" i="8" s="1"/>
  <c r="D17" i="8"/>
  <c r="C18" i="8" s="1"/>
  <c r="C17" i="8"/>
  <c r="E66" i="5"/>
  <c r="G33" i="5"/>
  <c r="G16" i="12"/>
  <c r="H16" i="12"/>
  <c r="M19" i="12"/>
  <c r="N19" i="12"/>
  <c r="M42" i="5"/>
  <c r="M14" i="7"/>
  <c r="K15" i="7" s="1"/>
  <c r="G58" i="5"/>
  <c r="E75" i="5"/>
  <c r="M32" i="5"/>
  <c r="M22" i="4"/>
  <c r="L22" i="4"/>
  <c r="D16" i="7"/>
  <c r="B17" i="7"/>
  <c r="AA67" i="25" l="1"/>
  <c r="Z102" i="25"/>
  <c r="O25" i="15"/>
  <c r="P13" i="15"/>
  <c r="P26" i="15"/>
  <c r="P14" i="15"/>
  <c r="A44" i="15"/>
  <c r="A60" i="15"/>
  <c r="C64" i="15"/>
  <c r="C66" i="15" s="1"/>
  <c r="C68" i="15" s="1"/>
  <c r="C70" i="15"/>
  <c r="C91" i="15" s="1"/>
  <c r="C29" i="15"/>
  <c r="C30" i="15"/>
  <c r="B16" i="15"/>
  <c r="A38" i="15"/>
  <c r="J74" i="4"/>
  <c r="F67" i="4"/>
  <c r="J75" i="4" s="1"/>
  <c r="F68" i="4"/>
  <c r="J76" i="4" s="1"/>
  <c r="G82" i="4" s="1"/>
  <c r="K13" i="8"/>
  <c r="B18" i="8"/>
  <c r="D18" i="8"/>
  <c r="B19" i="8" s="1"/>
  <c r="B74" i="5"/>
  <c r="E67" i="5"/>
  <c r="B75" i="5" s="1"/>
  <c r="I21" i="12"/>
  <c r="H21" i="12"/>
  <c r="E64" i="5"/>
  <c r="H58" i="5"/>
  <c r="M43" i="5"/>
  <c r="M33" i="5"/>
  <c r="M15" i="7"/>
  <c r="L15" i="7"/>
  <c r="N58" i="5"/>
  <c r="F76" i="5" s="1"/>
  <c r="F64" i="5"/>
  <c r="M44" i="5"/>
  <c r="G43" i="5"/>
  <c r="G23" i="4"/>
  <c r="G24" i="4"/>
  <c r="G29" i="4"/>
  <c r="C17" i="7"/>
  <c r="D17" i="7" s="1"/>
  <c r="Y74" i="25" l="1"/>
  <c r="Y80" i="25"/>
  <c r="S21" i="15"/>
  <c r="O21" i="15"/>
  <c r="D116" i="15"/>
  <c r="J88" i="15"/>
  <c r="I94" i="15" s="1"/>
  <c r="I97" i="15" s="1"/>
  <c r="J99" i="15" s="1"/>
  <c r="A43" i="15"/>
  <c r="A48" i="15" s="1"/>
  <c r="A50" i="15" s="1"/>
  <c r="B44" i="15"/>
  <c r="B94" i="15"/>
  <c r="A59" i="15"/>
  <c r="A64" i="15" s="1"/>
  <c r="A66" i="15" s="1"/>
  <c r="C95" i="15"/>
  <c r="B60" i="15"/>
  <c r="G81" i="4"/>
  <c r="G80" i="4" s="1"/>
  <c r="L14" i="8"/>
  <c r="M14" i="8"/>
  <c r="L15" i="8" s="1"/>
  <c r="D19" i="8"/>
  <c r="C19" i="8"/>
  <c r="C20" i="8"/>
  <c r="E68" i="5"/>
  <c r="B76" i="5" s="1"/>
  <c r="D82" i="5" s="1"/>
  <c r="D81" i="5" s="1"/>
  <c r="D80" i="5" s="1"/>
  <c r="K16" i="7"/>
  <c r="G28" i="4"/>
  <c r="M23" i="4"/>
  <c r="H24" i="4" s="1"/>
  <c r="H29" i="4" s="1"/>
  <c r="B18" i="7"/>
  <c r="X98" i="25" l="1"/>
  <c r="W108" i="25" s="1"/>
  <c r="X93" i="25"/>
  <c r="W107" i="25" s="1"/>
  <c r="X87" i="25"/>
  <c r="W106" i="25" s="1"/>
  <c r="P20" i="15"/>
  <c r="P21" i="15"/>
  <c r="O20" i="15"/>
  <c r="O30" i="15" s="1"/>
  <c r="C52" i="15"/>
  <c r="C54" i="15"/>
  <c r="B91" i="15" s="1"/>
  <c r="F116" i="15"/>
  <c r="C121" i="15" s="1"/>
  <c r="B97" i="15"/>
  <c r="G117" i="15"/>
  <c r="D121" i="15" s="1"/>
  <c r="C98" i="15"/>
  <c r="M15" i="8"/>
  <c r="K16" i="8" s="1"/>
  <c r="K15" i="8"/>
  <c r="B20" i="8"/>
  <c r="D20" i="8"/>
  <c r="L16" i="7"/>
  <c r="M16" i="7" s="1"/>
  <c r="K17" i="7" s="1"/>
  <c r="C18" i="7"/>
  <c r="AP140" i="25" l="1"/>
  <c r="AO146" i="25" s="1"/>
  <c r="X233" i="25"/>
  <c r="X237" i="25" s="1"/>
  <c r="AC264" i="25" s="1"/>
  <c r="AQ141" i="25"/>
  <c r="AP147" i="25" s="1"/>
  <c r="AP153" i="25" s="1"/>
  <c r="AP157" i="25" s="1"/>
  <c r="AP161" i="25" s="1"/>
  <c r="AR142" i="25"/>
  <c r="AQ148" i="25" s="1"/>
  <c r="AF140" i="25"/>
  <c r="AE146" i="25" s="1"/>
  <c r="AG141" i="25"/>
  <c r="AF147" i="25" s="1"/>
  <c r="AF153" i="25" s="1"/>
  <c r="AF157" i="25" s="1"/>
  <c r="AF161" i="25" s="1"/>
  <c r="W232" i="25"/>
  <c r="W236" i="25" s="1"/>
  <c r="AB263" i="25" s="1"/>
  <c r="AH142" i="25"/>
  <c r="AG148" i="25" s="1"/>
  <c r="V140" i="25"/>
  <c r="U146" i="25" s="1"/>
  <c r="W141" i="25"/>
  <c r="V147" i="25" s="1"/>
  <c r="V153" i="25" s="1"/>
  <c r="V157" i="25" s="1"/>
  <c r="V161" i="25" s="1"/>
  <c r="V231" i="25"/>
  <c r="V235" i="25" s="1"/>
  <c r="AA262" i="25" s="1"/>
  <c r="X142" i="25"/>
  <c r="W148" i="25" s="1"/>
  <c r="I88" i="15"/>
  <c r="C116" i="15"/>
  <c r="M16" i="8"/>
  <c r="L17" i="8" s="1"/>
  <c r="L16" i="8"/>
  <c r="L17" i="7"/>
  <c r="M17" i="7" s="1"/>
  <c r="K18" i="7" s="1"/>
  <c r="D18" i="7"/>
  <c r="B19" i="7" s="1"/>
  <c r="X152" i="25" l="1"/>
  <c r="AO152" i="25"/>
  <c r="AP152" i="25"/>
  <c r="AQ152" i="25"/>
  <c r="AR152" i="25"/>
  <c r="AO154" i="25"/>
  <c r="AO158" i="25" s="1"/>
  <c r="AP154" i="25"/>
  <c r="AP158" i="25" s="1"/>
  <c r="AQ154" i="25"/>
  <c r="AQ158" i="25" s="1"/>
  <c r="AR154" i="25"/>
  <c r="AR158" i="25" s="1"/>
  <c r="AR156" i="25"/>
  <c r="AR168" i="25" s="1"/>
  <c r="AR178" i="25" s="1"/>
  <c r="AR189" i="25" s="1"/>
  <c r="AR193" i="25" s="1"/>
  <c r="AR197" i="25" s="1"/>
  <c r="AE152" i="25"/>
  <c r="AF152" i="25"/>
  <c r="AG152" i="25"/>
  <c r="AH152" i="25"/>
  <c r="AE154" i="25"/>
  <c r="AE158" i="25" s="1"/>
  <c r="AF154" i="25"/>
  <c r="AF158" i="25" s="1"/>
  <c r="AG154" i="25"/>
  <c r="AG158" i="25" s="1"/>
  <c r="AH154" i="25"/>
  <c r="AH158" i="25" s="1"/>
  <c r="U152" i="25"/>
  <c r="V152" i="25"/>
  <c r="W152" i="25"/>
  <c r="U154" i="25"/>
  <c r="U158" i="25" s="1"/>
  <c r="V154" i="25"/>
  <c r="V158" i="25" s="1"/>
  <c r="W154" i="25"/>
  <c r="W158" i="25" s="1"/>
  <c r="X154" i="25"/>
  <c r="X158" i="25" s="1"/>
  <c r="I91" i="15"/>
  <c r="I102" i="15" s="1"/>
  <c r="J94" i="15"/>
  <c r="J97" i="15" s="1"/>
  <c r="J100" i="15" s="1"/>
  <c r="C120" i="15"/>
  <c r="D120" i="15"/>
  <c r="M17" i="8"/>
  <c r="K18" i="8" s="1"/>
  <c r="K17" i="8"/>
  <c r="L18" i="7"/>
  <c r="M18" i="7" s="1"/>
  <c r="K19" i="7" s="1"/>
  <c r="D19" i="7"/>
  <c r="C19" i="7"/>
  <c r="AO156" i="25" l="1"/>
  <c r="AP156" i="25"/>
  <c r="AQ156" i="25"/>
  <c r="AE156" i="25"/>
  <c r="AF156" i="25"/>
  <c r="AG156" i="25"/>
  <c r="AH156" i="25"/>
  <c r="AH168" i="25" s="1"/>
  <c r="AH178" i="25" s="1"/>
  <c r="AH189" i="25" s="1"/>
  <c r="AH193" i="25" s="1"/>
  <c r="AH197" i="25" s="1"/>
  <c r="U156" i="25"/>
  <c r="V156" i="25"/>
  <c r="W156" i="25"/>
  <c r="X156" i="25"/>
  <c r="X169" i="25" s="1"/>
  <c r="X174" i="25" s="1"/>
  <c r="AR169" i="25"/>
  <c r="AR174" i="25" s="1"/>
  <c r="I106" i="15"/>
  <c r="J106" i="15"/>
  <c r="I107" i="15"/>
  <c r="J107" i="15"/>
  <c r="M19" i="8"/>
  <c r="M18" i="8"/>
  <c r="L19" i="8" s="1"/>
  <c r="K20" i="8" s="1"/>
  <c r="L18" i="8"/>
  <c r="L19" i="7"/>
  <c r="M19" i="7" s="1"/>
  <c r="K20" i="7" s="1"/>
  <c r="B20" i="7"/>
  <c r="AO160" i="25" l="1"/>
  <c r="AP160" i="25"/>
  <c r="AP167" i="25" s="1"/>
  <c r="AQ160" i="25"/>
  <c r="AQ167" i="25" s="1"/>
  <c r="AR160" i="25"/>
  <c r="AR167" i="25" s="1"/>
  <c r="AO162" i="25"/>
  <c r="AO169" i="25" s="1"/>
  <c r="AP162" i="25"/>
  <c r="AP169" i="25" s="1"/>
  <c r="AQ162" i="25"/>
  <c r="AR162" i="25"/>
  <c r="AE160" i="25"/>
  <c r="AF160" i="25"/>
  <c r="AF167" i="25" s="1"/>
  <c r="AG160" i="25"/>
  <c r="AG167" i="25" s="1"/>
  <c r="AH160" i="25"/>
  <c r="AH167" i="25" s="1"/>
  <c r="AE162" i="25"/>
  <c r="AE169" i="25" s="1"/>
  <c r="AF162" i="25"/>
  <c r="AF169" i="25" s="1"/>
  <c r="AG162" i="25"/>
  <c r="AG169" i="25" s="1"/>
  <c r="AH162" i="25"/>
  <c r="U160" i="25"/>
  <c r="V160" i="25"/>
  <c r="V167" i="25" s="1"/>
  <c r="W160" i="25"/>
  <c r="W167" i="25" s="1"/>
  <c r="X160" i="25"/>
  <c r="X167" i="25" s="1"/>
  <c r="U162" i="25"/>
  <c r="U169" i="25" s="1"/>
  <c r="V162" i="25"/>
  <c r="V169" i="25" s="1"/>
  <c r="W162" i="25"/>
  <c r="W169" i="25" s="1"/>
  <c r="X162" i="25"/>
  <c r="I116" i="15"/>
  <c r="F120" i="15" s="1"/>
  <c r="B100" i="15"/>
  <c r="J116" i="15"/>
  <c r="G120" i="15" s="1"/>
  <c r="C100" i="15"/>
  <c r="I117" i="15"/>
  <c r="F121" i="15" s="1"/>
  <c r="B101" i="15"/>
  <c r="J117" i="15"/>
  <c r="G121" i="15" s="1"/>
  <c r="C101" i="15"/>
  <c r="K19" i="8"/>
  <c r="L20" i="7"/>
  <c r="M20" i="7" s="1"/>
  <c r="K21" i="7" s="1"/>
  <c r="C20" i="7"/>
  <c r="D20" i="7"/>
  <c r="AO168" i="25" l="1"/>
  <c r="AP168" i="25"/>
  <c r="AO167" i="25"/>
  <c r="AQ168" i="25"/>
  <c r="AP177" i="25"/>
  <c r="AP188" i="25" s="1"/>
  <c r="AP192" i="25" s="1"/>
  <c r="AP173" i="25"/>
  <c r="AQ173" i="25"/>
  <c r="AQ177" i="25"/>
  <c r="AQ188" i="25" s="1"/>
  <c r="AQ192" i="25" s="1"/>
  <c r="AR177" i="25"/>
  <c r="AR188" i="25" s="1"/>
  <c r="AR192" i="25" s="1"/>
  <c r="AR196" i="25" s="1"/>
  <c r="AR173" i="25"/>
  <c r="AE167" i="25"/>
  <c r="AF168" i="25"/>
  <c r="AG168" i="25"/>
  <c r="AE168" i="25"/>
  <c r="AF173" i="25"/>
  <c r="AF177" i="25"/>
  <c r="AF188" i="25" s="1"/>
  <c r="AF192" i="25" s="1"/>
  <c r="AG173" i="25"/>
  <c r="AG177" i="25"/>
  <c r="AG188" i="25" s="1"/>
  <c r="AG192" i="25" s="1"/>
  <c r="AH177" i="25"/>
  <c r="AH188" i="25" s="1"/>
  <c r="AH192" i="25" s="1"/>
  <c r="AH196" i="25" s="1"/>
  <c r="AH173" i="25"/>
  <c r="V168" i="25"/>
  <c r="U168" i="25"/>
  <c r="X168" i="25"/>
  <c r="X178" i="25" s="1"/>
  <c r="X189" i="25" s="1"/>
  <c r="X193" i="25" s="1"/>
  <c r="X197" i="25" s="1"/>
  <c r="U167" i="25"/>
  <c r="W168" i="25"/>
  <c r="V173" i="25"/>
  <c r="V177" i="25"/>
  <c r="V188" i="25" s="1"/>
  <c r="V192" i="25" s="1"/>
  <c r="W173" i="25"/>
  <c r="W177" i="25"/>
  <c r="W188" i="25" s="1"/>
  <c r="W192" i="25" s="1"/>
  <c r="X177" i="25"/>
  <c r="X188" i="25" s="1"/>
  <c r="X192" i="25" s="1"/>
  <c r="X196" i="25" s="1"/>
  <c r="X173" i="25"/>
  <c r="AQ169" i="25"/>
  <c r="AH169" i="25"/>
  <c r="C123" i="15"/>
  <c r="C124" i="15"/>
  <c r="D123" i="15"/>
  <c r="D124" i="15"/>
  <c r="L20" i="8"/>
  <c r="M21" i="8" s="1"/>
  <c r="M20" i="8"/>
  <c r="L21" i="7"/>
  <c r="M21" i="7" s="1"/>
  <c r="AP174" i="25" l="1"/>
  <c r="AQ175" i="25"/>
  <c r="AQ179" i="25" s="1"/>
  <c r="AO175" i="25"/>
  <c r="AO179" i="25" s="1"/>
  <c r="AQ174" i="25"/>
  <c r="AO174" i="25"/>
  <c r="AR175" i="25"/>
  <c r="AP175" i="25"/>
  <c r="AP179" i="25" s="1"/>
  <c r="X175" i="25"/>
  <c r="AQ205" i="25"/>
  <c r="X229" i="25" s="1"/>
  <c r="AO177" i="25"/>
  <c r="AO188" i="25" s="1"/>
  <c r="AO192" i="25" s="1"/>
  <c r="AO173" i="25"/>
  <c r="AE173" i="25"/>
  <c r="AE177" i="25"/>
  <c r="AE188" i="25" s="1"/>
  <c r="AE192" i="25" s="1"/>
  <c r="AF174" i="25"/>
  <c r="AH174" i="25"/>
  <c r="AG174" i="25"/>
  <c r="AE174" i="25"/>
  <c r="AH175" i="25"/>
  <c r="AG175" i="25"/>
  <c r="AG179" i="25" s="1"/>
  <c r="AF175" i="25"/>
  <c r="AF179" i="25" s="1"/>
  <c r="AE175" i="25"/>
  <c r="AE179" i="25" s="1"/>
  <c r="AG205" i="25"/>
  <c r="W229" i="25" s="1"/>
  <c r="V175" i="25"/>
  <c r="V179" i="25" s="1"/>
  <c r="U175" i="25"/>
  <c r="U179" i="25" s="1"/>
  <c r="W205" i="25"/>
  <c r="V229" i="25" s="1"/>
  <c r="U174" i="25"/>
  <c r="W175" i="25"/>
  <c r="W179" i="25" s="1"/>
  <c r="W174" i="25"/>
  <c r="V174" i="25"/>
  <c r="U173" i="25"/>
  <c r="U177" i="25"/>
  <c r="U188" i="25" s="1"/>
  <c r="U192" i="25" s="1"/>
  <c r="L21" i="8"/>
  <c r="K21" i="8"/>
  <c r="K22" i="7"/>
  <c r="AO178" i="25" l="1"/>
  <c r="AO189" i="25" s="1"/>
  <c r="AO193" i="25" s="1"/>
  <c r="AQ178" i="25"/>
  <c r="AQ189" i="25" s="1"/>
  <c r="AQ193" i="25" s="1"/>
  <c r="AP178" i="25"/>
  <c r="AR190" i="25"/>
  <c r="AR194" i="25" s="1"/>
  <c r="AR198" i="25" s="1"/>
  <c r="AR179" i="25"/>
  <c r="X190" i="25"/>
  <c r="X194" i="25" s="1"/>
  <c r="X198" i="25" s="1"/>
  <c r="X179" i="25"/>
  <c r="Y264" i="25"/>
  <c r="AD225" i="25"/>
  <c r="AE178" i="25"/>
  <c r="AE189" i="25" s="1"/>
  <c r="AE193" i="25" s="1"/>
  <c r="AG178" i="25"/>
  <c r="AF178" i="25"/>
  <c r="AH179" i="25"/>
  <c r="AH190" i="25"/>
  <c r="AH194" i="25" s="1"/>
  <c r="AH198" i="25" s="1"/>
  <c r="X264" i="25"/>
  <c r="AC225" i="25"/>
  <c r="W264" i="25"/>
  <c r="AB225" i="25"/>
  <c r="W178" i="25"/>
  <c r="U178" i="25"/>
  <c r="U189" i="25" s="1"/>
  <c r="U193" i="25" s="1"/>
  <c r="V178" i="25"/>
  <c r="AQ190" i="25"/>
  <c r="L22" i="7"/>
  <c r="M22" i="7" s="1"/>
  <c r="AO196" i="25" l="1"/>
  <c r="AO197" i="25"/>
  <c r="AQ197" i="25"/>
  <c r="AQ204" i="25" s="1"/>
  <c r="AQ196" i="25"/>
  <c r="AP190" i="25"/>
  <c r="AO190" i="25"/>
  <c r="AP189" i="25"/>
  <c r="AP193" i="25" s="1"/>
  <c r="AE196" i="25"/>
  <c r="AE197" i="25"/>
  <c r="AE190" i="25"/>
  <c r="AF190" i="25"/>
  <c r="AF189" i="25"/>
  <c r="AF193" i="25" s="1"/>
  <c r="W190" i="25"/>
  <c r="W189" i="25"/>
  <c r="W193" i="25" s="1"/>
  <c r="U196" i="25"/>
  <c r="U197" i="25"/>
  <c r="U190" i="25"/>
  <c r="V190" i="25"/>
  <c r="V189" i="25"/>
  <c r="V193" i="25" s="1"/>
  <c r="AQ194" i="25"/>
  <c r="AQ198" i="25" s="1"/>
  <c r="AP194" i="25"/>
  <c r="AP198" i="25" s="1"/>
  <c r="AO194" i="25"/>
  <c r="AO198" i="25" s="1"/>
  <c r="AG189" i="25"/>
  <c r="AG193" i="25" s="1"/>
  <c r="AG190" i="25"/>
  <c r="X228" i="25" l="1"/>
  <c r="AQ203" i="25"/>
  <c r="X227" i="25" s="1"/>
  <c r="AP197" i="25"/>
  <c r="AP196" i="25"/>
  <c r="AF197" i="25"/>
  <c r="AF196" i="25"/>
  <c r="W194" i="25"/>
  <c r="W198" i="25" s="1"/>
  <c r="V194" i="25"/>
  <c r="V198" i="25" s="1"/>
  <c r="U194" i="25"/>
  <c r="U198" i="25" s="1"/>
  <c r="W197" i="25"/>
  <c r="W204" i="25" s="1"/>
  <c r="W196" i="25"/>
  <c r="V197" i="25"/>
  <c r="V196" i="25"/>
  <c r="AG196" i="25"/>
  <c r="AG197" i="25"/>
  <c r="AG204" i="25" s="1"/>
  <c r="AE194" i="25"/>
  <c r="AE198" i="25" s="1"/>
  <c r="AF194" i="25"/>
  <c r="AF198" i="25" s="1"/>
  <c r="AG194" i="25"/>
  <c r="AG198" i="25" s="1"/>
  <c r="Y263" i="25" l="1"/>
  <c r="AD224" i="25"/>
  <c r="Y262" i="25"/>
  <c r="AD223" i="25"/>
  <c r="V228" i="25"/>
  <c r="W203" i="25"/>
  <c r="V227" i="25" s="1"/>
  <c r="W228" i="25"/>
  <c r="AG203" i="25"/>
  <c r="W227" i="25" s="1"/>
  <c r="W263" i="25" l="1"/>
  <c r="AB224" i="25"/>
  <c r="W262" i="25"/>
  <c r="AB223" i="25"/>
  <c r="X263" i="25"/>
  <c r="AC224" i="25"/>
  <c r="AC235" i="25" s="1"/>
  <c r="AC239" i="25" s="1"/>
  <c r="AC243" i="25" s="1"/>
  <c r="X262" i="25"/>
  <c r="AC223" i="25"/>
  <c r="AD235" i="25" l="1"/>
  <c r="AD239" i="25" s="1"/>
  <c r="AC244" i="25" s="1"/>
  <c r="AE235" i="25"/>
  <c r="AE239" i="25" s="1"/>
  <c r="AC245" i="25" s="1"/>
  <c r="AC233" i="25"/>
  <c r="AC247" i="25" s="1"/>
  <c r="AD236" i="25"/>
  <c r="AD240" i="25" s="1"/>
  <c r="AD244" i="25" s="1"/>
  <c r="AD237" i="25"/>
  <c r="AD241" i="25" s="1"/>
  <c r="AE244" i="25" s="1"/>
  <c r="AE236" i="25"/>
  <c r="AE240" i="25" s="1"/>
  <c r="AD245" i="25" s="1"/>
  <c r="AE237" i="25"/>
  <c r="AE241" i="25" s="1"/>
  <c r="AE245" i="25" s="1"/>
  <c r="AC236" i="25"/>
  <c r="AC240" i="25" s="1"/>
  <c r="AD243" i="25" s="1"/>
  <c r="AC237" i="25"/>
  <c r="AC241" i="25" s="1"/>
  <c r="AE243" i="25" s="1"/>
  <c r="W267" i="25" a="1"/>
  <c r="W267" i="25" s="1"/>
  <c r="AD251" i="25" l="1"/>
  <c r="AD252" i="25"/>
  <c r="AD253" i="25"/>
  <c r="AC252" i="25"/>
  <c r="AC253" i="25"/>
  <c r="AC251" i="25"/>
  <c r="AE252" i="25"/>
  <c r="AE251" i="25"/>
  <c r="AE253" i="25"/>
  <c r="AF262" i="25" l="1"/>
  <c r="AB267" i="25" s="1"/>
  <c r="W239" i="25"/>
  <c r="AF263" i="25"/>
  <c r="AB268" i="25" s="1"/>
  <c r="W240" i="25"/>
  <c r="W241" i="25"/>
  <c r="AF264" i="25"/>
  <c r="AB269" i="25" s="1"/>
  <c r="V240" i="25"/>
  <c r="AE263" i="25"/>
  <c r="AA268" i="25" s="1"/>
  <c r="V241" i="25"/>
  <c r="AE264" i="25"/>
  <c r="AA269" i="25" s="1"/>
  <c r="V239" i="25"/>
  <c r="AE262" i="25"/>
  <c r="AA267" i="25" s="1"/>
  <c r="W272" i="25" s="1" a="1"/>
  <c r="W272" i="25" s="1"/>
  <c r="AG263" i="25"/>
  <c r="AC268" i="25" s="1"/>
  <c r="X240" i="25"/>
  <c r="AG262" i="25"/>
  <c r="AC267" i="25" s="1"/>
  <c r="X239" i="25"/>
  <c r="X241" i="25"/>
  <c r="AG264" i="25"/>
  <c r="AC269" i="2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<sst xmlns="http://schemas.openxmlformats.org/spreadsheetml/2006/main" count="735" uniqueCount="352">
  <si>
    <t>2x2 Matrix Determinant</t>
  </si>
  <si>
    <t>Matrix A</t>
  </si>
  <si>
    <t>Determinant=</t>
  </si>
  <si>
    <t>Det=</t>
  </si>
  <si>
    <t>3x3 Matrix Determinant</t>
  </si>
  <si>
    <t>Matrix B</t>
  </si>
  <si>
    <t>Method 1: Excel Function</t>
  </si>
  <si>
    <t>Method 2: Mannual Formula</t>
  </si>
  <si>
    <t>Example Matrix</t>
  </si>
  <si>
    <t>Excel Method:</t>
  </si>
  <si>
    <t>Mannual Method</t>
  </si>
  <si>
    <t>Row Operations</t>
  </si>
  <si>
    <t>Elementary Row Operations</t>
  </si>
  <si>
    <t>Upper Triangular Form</t>
  </si>
  <si>
    <t>Step 1: Original</t>
  </si>
  <si>
    <t>Step 2: R2 → R2 - 2R1</t>
  </si>
  <si>
    <t>Step 3: R3 → R3 - 0.5R1</t>
  </si>
  <si>
    <t>Lower Triangular Form</t>
  </si>
  <si>
    <t>Step 2: R1 → R1 - 0.5R2</t>
  </si>
  <si>
    <t>Row Operations Explanation:</t>
  </si>
  <si>
    <t>• Swap rows to get non-zero pivot</t>
  </si>
  <si>
    <t>• Scale rows to simplify calculations</t>
  </si>
  <si>
    <t>• Add/subtract rows to create zeros</t>
  </si>
  <si>
    <r>
      <rPr>
        <b/>
        <sz val="11"/>
        <color rgb="FF7030A0"/>
        <rFont val="Aptos Narrow"/>
        <family val="2"/>
        <scheme val="minor"/>
      </rPr>
      <t>Formula</t>
    </r>
    <r>
      <rPr>
        <sz val="11"/>
        <color theme="1"/>
        <rFont val="Aptos Narrow"/>
        <family val="2"/>
        <scheme val="minor"/>
      </rPr>
      <t>:ad-bc</t>
    </r>
  </si>
  <si>
    <r>
      <rPr>
        <b/>
        <sz val="11"/>
        <color rgb="FF7030A0"/>
        <rFont val="Aptos Narrow"/>
        <family val="2"/>
        <scheme val="minor"/>
      </rPr>
      <t>Example</t>
    </r>
    <r>
      <rPr>
        <sz val="11"/>
        <color theme="1"/>
        <rFont val="Aptos Narrow"/>
        <family val="2"/>
        <scheme val="minor"/>
      </rPr>
      <t>:</t>
    </r>
  </si>
  <si>
    <t>Original Matrix</t>
  </si>
  <si>
    <r>
      <t>R1 ↔ R2</t>
    </r>
    <r>
      <rPr>
        <b/>
        <sz val="11"/>
        <color theme="1"/>
        <rFont val="Aptos Narrow"/>
        <family val="2"/>
        <scheme val="minor"/>
      </rPr>
      <t xml:space="preserve"> (swap rows)</t>
    </r>
  </si>
  <si>
    <r>
      <t xml:space="preserve">R2 → R2 - kR1 </t>
    </r>
    <r>
      <rPr>
        <b/>
        <sz val="11"/>
        <rFont val="Aptos Narrow"/>
        <family val="2"/>
      </rPr>
      <t>(eliminate)</t>
    </r>
  </si>
  <si>
    <t>LU Decomposition - Crout Method</t>
  </si>
  <si>
    <t>Original Matrix A</t>
  </si>
  <si>
    <t>L Matrix (Lower Tiangular)</t>
  </si>
  <si>
    <t>Step-by-step calculation</t>
  </si>
  <si>
    <t>Final L Matrix</t>
  </si>
  <si>
    <t>U Matrix (Upper Triangular)</t>
  </si>
  <si>
    <t>Diagonal=1, calculate upper elements:</t>
  </si>
  <si>
    <t>University of Mauritius</t>
  </si>
  <si>
    <t>Computer Science</t>
  </si>
  <si>
    <t>First Year, First Semester</t>
  </si>
  <si>
    <t>ASSIGNMENT COVER PAGE</t>
  </si>
  <si>
    <t>STUDENT DETAILS</t>
  </si>
  <si>
    <r>
      <rPr>
        <b/>
        <sz val="11"/>
        <color theme="1"/>
        <rFont val="Aptos Narrow"/>
        <family val="2"/>
        <scheme val="minor"/>
      </rPr>
      <t>Semester 1</t>
    </r>
    <r>
      <rPr>
        <sz val="11"/>
        <color theme="1"/>
        <rFont val="Aptos Narrow"/>
        <family val="2"/>
        <scheme val="minor"/>
      </rPr>
      <t>- Computer Science Assignment</t>
    </r>
  </si>
  <si>
    <r>
      <rPr>
        <b/>
        <sz val="11"/>
        <color theme="1"/>
        <rFont val="Aptos Narrow"/>
        <family val="2"/>
        <scheme val="minor"/>
      </rPr>
      <t>Subject:</t>
    </r>
    <r>
      <rPr>
        <sz val="11"/>
        <color theme="1"/>
        <rFont val="Aptos Narrow"/>
        <family val="2"/>
        <scheme val="minor"/>
      </rPr>
      <t xml:space="preserve"> Linear Algebra &amp; Numerical Methods  </t>
    </r>
  </si>
  <si>
    <r>
      <rPr>
        <b/>
        <sz val="11"/>
        <color theme="1"/>
        <rFont val="Aptos Narrow"/>
        <family val="2"/>
        <scheme val="minor"/>
      </rPr>
      <t>Assignment:</t>
    </r>
    <r>
      <rPr>
        <sz val="11"/>
        <color theme="1"/>
        <rFont val="Aptos Narrow"/>
        <family val="2"/>
        <scheme val="minor"/>
      </rPr>
      <t xml:space="preserve"> Excel Workbook Implementation</t>
    </r>
  </si>
  <si>
    <r>
      <rPr>
        <b/>
        <sz val="11"/>
        <color theme="1"/>
        <rFont val="Aptos Narrow"/>
        <family val="2"/>
        <scheme val="minor"/>
      </rPr>
      <t xml:space="preserve">Due Date: </t>
    </r>
    <r>
      <rPr>
        <sz val="11"/>
        <color theme="1"/>
        <rFont val="Aptos Narrow"/>
        <family val="2"/>
        <scheme val="minor"/>
      </rPr>
      <t>October 1st, 2025</t>
    </r>
  </si>
  <si>
    <t xml:space="preserve"> ASSIGNMENT OVERVIEW</t>
  </si>
  <si>
    <t xml:space="preserve"> This workbook contains implementations of:</t>
  </si>
  <si>
    <t>• Matrix Inverse using Determinant Method</t>
  </si>
  <si>
    <t>• Elementary Row Operations</t>
  </si>
  <si>
    <t>• LU Decomposition (Crout Method)</t>
  </si>
  <si>
    <t>• System Solvability Analysis</t>
  </si>
  <si>
    <t>• Large Power Matrix Calculations</t>
  </si>
  <si>
    <t xml:space="preserve"> Total Worksheets: 9 sheets</t>
  </si>
  <si>
    <t>• Gauss-Jacobi Iterative Method</t>
  </si>
  <si>
    <t>• Gauss-Seidel Iterative Method</t>
  </si>
  <si>
    <t>• LU Decomposition (Doolittle Method)</t>
  </si>
  <si>
    <t>• Matrix Determinant Calculations (2x2 and 3x3)</t>
  </si>
  <si>
    <t>LU Decomposition - Doolittle Method</t>
  </si>
  <si>
    <t>Original Matrix A:</t>
  </si>
  <si>
    <t>L Matrix (Lower with 1's on diagonal)</t>
  </si>
  <si>
    <t>Step-by-step L calculation</t>
  </si>
  <si>
    <t>Formulas used:</t>
  </si>
  <si>
    <t>Formulas used</t>
  </si>
  <si>
    <t>Final L Matrix:</t>
  </si>
  <si>
    <t>Step-by-step U calculation:</t>
  </si>
  <si>
    <t>Final U Matrix:</t>
  </si>
  <si>
    <t>System Solvability Analysis</t>
  </si>
  <si>
    <t>Example 1: Unique Solution</t>
  </si>
  <si>
    <t>Analysis: Rank A =</t>
  </si>
  <si>
    <t>Rank [A|b] =</t>
  </si>
  <si>
    <t>Result: Unique Solution</t>
  </si>
  <si>
    <t>Example 2: No Solution</t>
  </si>
  <si>
    <t>Result: No Solution</t>
  </si>
  <si>
    <t>Example 3: Infinite Solutions</t>
  </si>
  <si>
    <t>Result: Infinite Solutions</t>
  </si>
  <si>
    <t>Summary:</t>
  </si>
  <si>
    <t>Gauss-Seidel Iterative Method</t>
  </si>
  <si>
    <t>System of Equations:</t>
  </si>
  <si>
    <t>4x + y + 2z = 16</t>
  </si>
  <si>
    <t>x + 5y + z = 20</t>
  </si>
  <si>
    <t>2x + y + 8z = 35</t>
  </si>
  <si>
    <t>Coefficient Matrix:</t>
  </si>
  <si>
    <t>Iteration Table:</t>
  </si>
  <si>
    <t>Iteration</t>
  </si>
  <si>
    <t>x</t>
  </si>
  <si>
    <t>y</t>
  </si>
  <si>
    <t>z</t>
  </si>
  <si>
    <t>Gauss-Seidel Formulas:</t>
  </si>
  <si>
    <t>x(n+1) = (16 - y(n) - 2z(n))/4</t>
  </si>
  <si>
    <t>Key Feature:</t>
  </si>
  <si>
    <t>Uses UPDATED values immediately</t>
  </si>
  <si>
    <t>(x uses new y, z uses new x and y)</t>
  </si>
  <si>
    <t>Solution converges to:</t>
  </si>
  <si>
    <t>x = 1</t>
  </si>
  <si>
    <t>y = 2</t>
  </si>
  <si>
    <t>z = 4</t>
  </si>
  <si>
    <t>Verification:</t>
  </si>
  <si>
    <t>4(1) + 1(2) + 2(4) = 14</t>
  </si>
  <si>
    <t>1(1) + 5(2) + 1(4) = 15</t>
  </si>
  <si>
    <t>2(1) + 1(2) + 8(4) = 36</t>
  </si>
  <si>
    <t>Gauss-Jacobi Iterative Method</t>
  </si>
  <si>
    <t>Gauss-Jacobi Formulas:</t>
  </si>
  <si>
    <t>y(n+1) = (20 - x(n) - z(n))/5</t>
  </si>
  <si>
    <t>z(n+1) = (35 - 2x(n) - y(n))/8</t>
  </si>
  <si>
    <t>Uses OLD values from previous iteration</t>
  </si>
  <si>
    <t>(all variables use n-th iteration values)</t>
  </si>
  <si>
    <t>Comparison with Gauss-Seidel:</t>
  </si>
  <si>
    <t>Both reach same solution: x=1, y=2, z=4</t>
  </si>
  <si>
    <t>Convergence Pattern:</t>
  </si>
  <si>
    <t>Jacobi oscillates more</t>
  </si>
  <si>
    <t>Takes more iterations</t>
  </si>
  <si>
    <t>But easier to parallelize</t>
  </si>
  <si>
    <t>U Matrix (Upper with calculated values</t>
  </si>
  <si>
    <r>
      <rPr>
        <b/>
        <sz val="11"/>
        <color theme="1"/>
        <rFont val="Aptos Narrow"/>
        <family val="2"/>
        <scheme val="minor"/>
      </rPr>
      <t>U11</t>
    </r>
    <r>
      <rPr>
        <sz val="11"/>
        <color theme="1"/>
        <rFont val="Aptos Narrow"/>
        <family val="2"/>
        <scheme val="minor"/>
      </rPr>
      <t xml:space="preserve"> = A11, U12 = A12, U13 = A13</t>
    </r>
  </si>
  <si>
    <r>
      <rPr>
        <b/>
        <sz val="11"/>
        <color theme="1"/>
        <rFont val="Aptos Narrow"/>
        <family val="2"/>
        <scheme val="minor"/>
      </rPr>
      <t>U22</t>
    </r>
    <r>
      <rPr>
        <sz val="11"/>
        <color theme="1"/>
        <rFont val="Aptos Narrow"/>
        <family val="2"/>
        <scheme val="minor"/>
      </rPr>
      <t xml:space="preserve"> = A22 - L21*U12</t>
    </r>
  </si>
  <si>
    <r>
      <rPr>
        <b/>
        <sz val="11"/>
        <color theme="1"/>
        <rFont val="Aptos Narrow"/>
        <family val="2"/>
        <scheme val="minor"/>
      </rPr>
      <t>U23</t>
    </r>
    <r>
      <rPr>
        <sz val="11"/>
        <color theme="1"/>
        <rFont val="Aptos Narrow"/>
        <family val="2"/>
        <scheme val="minor"/>
      </rPr>
      <t xml:space="preserve"> = A23 - L21*U13</t>
    </r>
  </si>
  <si>
    <r>
      <rPr>
        <b/>
        <sz val="11"/>
        <color theme="1"/>
        <rFont val="Aptos Narrow"/>
        <family val="2"/>
        <scheme val="minor"/>
      </rPr>
      <t>U33</t>
    </r>
    <r>
      <rPr>
        <sz val="11"/>
        <color theme="1"/>
        <rFont val="Aptos Narrow"/>
        <family val="2"/>
        <scheme val="minor"/>
      </rPr>
      <t xml:space="preserve"> = A33 - L31*U13 - L32*U23</t>
    </r>
  </si>
  <si>
    <r>
      <rPr>
        <b/>
        <sz val="11"/>
        <color theme="1"/>
        <rFont val="Aptos Narrow"/>
        <family val="2"/>
        <scheme val="minor"/>
      </rPr>
      <t>L21</t>
    </r>
    <r>
      <rPr>
        <sz val="11"/>
        <color theme="1"/>
        <rFont val="Aptos Narrow"/>
        <family val="2"/>
        <scheme val="minor"/>
      </rPr>
      <t xml:space="preserve"> = A21/U11</t>
    </r>
  </si>
  <si>
    <r>
      <rPr>
        <b/>
        <sz val="11"/>
        <color theme="1"/>
        <rFont val="Aptos Narrow"/>
        <family val="2"/>
        <scheme val="minor"/>
      </rPr>
      <t>L31</t>
    </r>
    <r>
      <rPr>
        <sz val="11"/>
        <color theme="1"/>
        <rFont val="Aptos Narrow"/>
        <family val="2"/>
        <scheme val="minor"/>
      </rPr>
      <t xml:space="preserve"> = A31/U11</t>
    </r>
  </si>
  <si>
    <r>
      <rPr>
        <b/>
        <sz val="11"/>
        <color theme="1"/>
        <rFont val="Aptos Narrow"/>
        <family val="2"/>
        <scheme val="minor"/>
      </rPr>
      <t xml:space="preserve">L32 </t>
    </r>
    <r>
      <rPr>
        <sz val="11"/>
        <color theme="1"/>
        <rFont val="Aptos Narrow"/>
        <family val="2"/>
        <scheme val="minor"/>
      </rPr>
      <t>= (A32-L31*U12)/U22</t>
    </r>
  </si>
  <si>
    <r>
      <rPr>
        <b/>
        <sz val="11"/>
        <color theme="1"/>
        <rFont val="Aptos Narrow"/>
        <family val="2"/>
        <scheme val="minor"/>
      </rPr>
      <t>Rank(A)</t>
    </r>
    <r>
      <rPr>
        <sz val="11"/>
        <color theme="1"/>
        <rFont val="Aptos Narrow"/>
        <family val="2"/>
        <scheme val="minor"/>
      </rPr>
      <t xml:space="preserve"> = Rank([A|b]) = n → Unique Solution</t>
    </r>
  </si>
  <si>
    <r>
      <rPr>
        <b/>
        <sz val="11"/>
        <color theme="1"/>
        <rFont val="Aptos Narrow"/>
        <family val="2"/>
        <scheme val="minor"/>
      </rPr>
      <t>Rank(A)</t>
    </r>
    <r>
      <rPr>
        <sz val="11"/>
        <color theme="1"/>
        <rFont val="Aptos Narrow"/>
        <family val="2"/>
        <scheme val="minor"/>
      </rPr>
      <t xml:space="preserve"> = Rank([A|b]) &lt; n → Infinite Solutions</t>
    </r>
  </si>
  <si>
    <r>
      <rPr>
        <b/>
        <sz val="11"/>
        <color theme="1"/>
        <rFont val="Aptos Narrow"/>
        <family val="2"/>
        <scheme val="minor"/>
      </rPr>
      <t>Rank(A)</t>
    </r>
    <r>
      <rPr>
        <sz val="11"/>
        <color theme="1"/>
        <rFont val="Aptos Narrow"/>
        <family val="2"/>
        <scheme val="minor"/>
      </rPr>
      <t xml:space="preserve"> &lt; Rank([A|b]) → No Solution</t>
    </r>
  </si>
  <si>
    <r>
      <rPr>
        <b/>
        <sz val="11"/>
        <color theme="1"/>
        <rFont val="Aptos Narrow"/>
        <family val="2"/>
        <scheme val="minor"/>
      </rPr>
      <t>Where n</t>
    </r>
    <r>
      <rPr>
        <sz val="11"/>
        <color theme="1"/>
        <rFont val="Aptos Narrow"/>
        <family val="2"/>
        <scheme val="minor"/>
      </rPr>
      <t xml:space="preserve"> = number of variables (3)</t>
    </r>
  </si>
  <si>
    <r>
      <rPr>
        <b/>
        <sz val="11"/>
        <color theme="1"/>
        <rFont val="Aptos Narrow"/>
        <family val="2"/>
        <scheme val="minor"/>
      </rPr>
      <t>Example 1</t>
    </r>
    <r>
      <rPr>
        <sz val="11"/>
        <color theme="1"/>
        <rFont val="Aptos Narrow"/>
        <family val="2"/>
        <scheme val="minor"/>
      </rPr>
      <t>: 3x3 system with unique solution</t>
    </r>
  </si>
  <si>
    <r>
      <rPr>
        <b/>
        <sz val="11"/>
        <color theme="1"/>
        <rFont val="Aptos Narrow"/>
        <family val="2"/>
        <scheme val="minor"/>
      </rPr>
      <t>Example 3</t>
    </r>
    <r>
      <rPr>
        <sz val="11"/>
        <color theme="1"/>
        <rFont val="Aptos Narrow"/>
        <family val="2"/>
        <scheme val="minor"/>
      </rPr>
      <t>: Dependent system (infinite solutions)</t>
    </r>
  </si>
  <si>
    <r>
      <rPr>
        <b/>
        <sz val="11"/>
        <color theme="1"/>
        <rFont val="Aptos Narrow"/>
        <family val="2"/>
        <scheme val="minor"/>
      </rPr>
      <t>Example 2</t>
    </r>
    <r>
      <rPr>
        <sz val="11"/>
        <color theme="1"/>
        <rFont val="Aptos Narrow"/>
        <family val="2"/>
        <scheme val="minor"/>
      </rPr>
      <t>: Inconsistent system (no solution)</t>
    </r>
  </si>
  <si>
    <r>
      <rPr>
        <b/>
        <sz val="11"/>
        <color theme="1"/>
        <rFont val="Aptos Narrow"/>
        <family val="2"/>
        <scheme val="minor"/>
      </rPr>
      <t xml:space="preserve">x(n+1) </t>
    </r>
    <r>
      <rPr>
        <sz val="11"/>
        <color theme="1"/>
        <rFont val="Aptos Narrow"/>
        <family val="2"/>
        <scheme val="minor"/>
      </rPr>
      <t>= (16 - y(n) - 2z(n))/4</t>
    </r>
  </si>
  <si>
    <r>
      <rPr>
        <b/>
        <sz val="11"/>
        <color theme="1"/>
        <rFont val="Aptos Narrow"/>
        <family val="2"/>
        <scheme val="minor"/>
      </rPr>
      <t>y(n+1)</t>
    </r>
    <r>
      <rPr>
        <sz val="11"/>
        <color theme="1"/>
        <rFont val="Aptos Narrow"/>
        <family val="2"/>
        <scheme val="minor"/>
      </rPr>
      <t xml:space="preserve"> = (20 - x(n+1) - z(n))/5</t>
    </r>
  </si>
  <si>
    <r>
      <rPr>
        <b/>
        <sz val="11"/>
        <color theme="1"/>
        <rFont val="Aptos Narrow"/>
        <family val="2"/>
        <scheme val="minor"/>
      </rPr>
      <t>z(n+1</t>
    </r>
    <r>
      <rPr>
        <sz val="11"/>
        <color theme="1"/>
        <rFont val="Aptos Narrow"/>
        <family val="2"/>
        <scheme val="minor"/>
      </rPr>
      <t>) = (35 - 2x(n+1) - y(n+1))/8</t>
    </r>
  </si>
  <si>
    <r>
      <rPr>
        <b/>
        <sz val="11"/>
        <color theme="1"/>
        <rFont val="Aptos Narrow"/>
        <family val="2"/>
        <scheme val="minor"/>
      </rPr>
      <t>Jacobi</t>
    </r>
    <r>
      <rPr>
        <sz val="11"/>
        <color theme="1"/>
        <rFont val="Aptos Narrow"/>
        <family val="2"/>
        <scheme val="minor"/>
      </rPr>
      <t>: Slower convergence</t>
    </r>
  </si>
  <si>
    <r>
      <rPr>
        <b/>
        <sz val="11"/>
        <color theme="1"/>
        <rFont val="Aptos Narrow"/>
        <family val="2"/>
        <scheme val="minor"/>
      </rPr>
      <t>Seidel</t>
    </r>
    <r>
      <rPr>
        <sz val="11"/>
        <color theme="1"/>
        <rFont val="Aptos Narrow"/>
        <family val="2"/>
        <scheme val="minor"/>
      </rPr>
      <t>: Faster convergence</t>
    </r>
  </si>
  <si>
    <t>4x4 Matrix Determinant</t>
  </si>
  <si>
    <t>Matrix C:</t>
  </si>
  <si>
    <t>Det =</t>
  </si>
  <si>
    <t>MATRIX INVERSE USING DETERMINANT METHOD</t>
  </si>
  <si>
    <t>Original 3x3 Matrix for Inverse:</t>
  </si>
  <si>
    <t>Step 1: Calculate Determinant</t>
  </si>
  <si>
    <t>Det(A) =</t>
  </si>
  <si>
    <t>Step 2: Cofactor Matrix</t>
  </si>
  <si>
    <t>Step 3: Adjugate (Transpose)</t>
  </si>
  <si>
    <t>Step 4: A⁻¹ = (1/Det) × Adj</t>
  </si>
  <si>
    <t>GIVEN:</t>
  </si>
  <si>
    <t>2X+Y+4Z=12</t>
  </si>
  <si>
    <t>8X-3Y+2Z=20</t>
  </si>
  <si>
    <t>4X+11Y-Z=33</t>
  </si>
  <si>
    <t>A=</t>
  </si>
  <si>
    <t>B=</t>
  </si>
  <si>
    <t>X</t>
  </si>
  <si>
    <t>Y</t>
  </si>
  <si>
    <t>Z</t>
  </si>
  <si>
    <t>A=LU</t>
  </si>
  <si>
    <t>=</t>
  </si>
  <si>
    <t>[A]</t>
  </si>
  <si>
    <t>[L]</t>
  </si>
  <si>
    <t>[U]</t>
  </si>
  <si>
    <t>LV=B</t>
  </si>
  <si>
    <t>V1</t>
  </si>
  <si>
    <t>V2</t>
  </si>
  <si>
    <t>V3</t>
  </si>
  <si>
    <t>[V]</t>
  </si>
  <si>
    <t>[B]</t>
  </si>
  <si>
    <t>UX=V</t>
  </si>
  <si>
    <t>STEP 1</t>
  </si>
  <si>
    <t>STEP 2</t>
  </si>
  <si>
    <t>STEP 3</t>
  </si>
  <si>
    <t>[X]</t>
  </si>
  <si>
    <t>4X+22Y-13Z=-128</t>
  </si>
  <si>
    <t>19X-13Y+4Z=111</t>
  </si>
  <si>
    <t>8X+8Y+17Z=10</t>
  </si>
  <si>
    <t>C=LY</t>
  </si>
  <si>
    <t>Y1</t>
  </si>
  <si>
    <t>Y2</t>
  </si>
  <si>
    <t>Y3</t>
  </si>
  <si>
    <t>Y=UX</t>
  </si>
  <si>
    <t>[C]</t>
  </si>
  <si>
    <t>[Y]</t>
  </si>
  <si>
    <t>27X+6Y-Z=85</t>
  </si>
  <si>
    <t>6X+15Y+2Z=72</t>
  </si>
  <si>
    <t>X+Y+54Z=110</t>
  </si>
  <si>
    <t>X=(85-6Y+Z)/27</t>
  </si>
  <si>
    <t>Y=(72-6X-2Z)/15</t>
  </si>
  <si>
    <t>Z=(110-X-Y)/54</t>
  </si>
  <si>
    <t>Result A^n</t>
  </si>
  <si>
    <t>D^n</t>
  </si>
  <si>
    <t>Inverse Det</t>
  </si>
  <si>
    <t>P^-1</t>
  </si>
  <si>
    <t>Discriminant</t>
  </si>
  <si>
    <t>λ2:</t>
  </si>
  <si>
    <t>λ1:</t>
  </si>
  <si>
    <t>Determinant</t>
  </si>
  <si>
    <t>Trace =</t>
  </si>
  <si>
    <t>n (power)</t>
  </si>
  <si>
    <t>Matrix A (2x2)</t>
  </si>
  <si>
    <t>2X2 MATRIX:</t>
  </si>
  <si>
    <t>Operation</t>
  </si>
  <si>
    <t>Operation performed:</t>
  </si>
  <si>
    <t>Scalar k</t>
  </si>
  <si>
    <t>Result Matrix (after operation)</t>
  </si>
  <si>
    <t>Row j (source / swap with)</t>
  </si>
  <si>
    <t>Row i (target)</t>
  </si>
  <si>
    <t>Swap Rows</t>
  </si>
  <si>
    <t>Operation controls</t>
  </si>
  <si>
    <t xml:space="preserve"> OPERATION FOR A 2X2 MATRIX:</t>
  </si>
  <si>
    <t>OPERATIONS FOR 3X3 MATRIX:</t>
  </si>
  <si>
    <t>OPERATIONS FOR 4X4 MATRIX</t>
  </si>
  <si>
    <r>
      <rPr>
        <b/>
        <sz val="11"/>
        <color theme="1"/>
        <rFont val="Aptos Narrow"/>
        <family val="2"/>
        <scheme val="minor"/>
      </rPr>
      <t>Name:</t>
    </r>
    <r>
      <rPr>
        <sz val="11"/>
        <color theme="1"/>
        <rFont val="Aptos Narrow"/>
        <family val="2"/>
        <scheme val="minor"/>
      </rPr>
      <t xml:space="preserve"> Doorandharsingh Dookhy</t>
    </r>
  </si>
  <si>
    <t>Student_id: 2515500</t>
  </si>
  <si>
    <t>Year:1</t>
  </si>
  <si>
    <t>Program: Computer Science(Year1)</t>
  </si>
  <si>
    <t>Date Submitted: 30/09/2025</t>
  </si>
  <si>
    <t xml:space="preserve">*SHOULD BE DIAGONAL DOMINANT. </t>
  </si>
  <si>
    <t>*SHOULD BE DIAGONAL DOMINANT</t>
  </si>
  <si>
    <r>
      <rPr>
        <b/>
        <sz val="11"/>
        <color rgb="FFFFFFFF"/>
        <rFont val="Aptos Narrow"/>
        <family val="2"/>
        <scheme val="minor"/>
      </rPr>
      <t>Eigenvectors</t>
    </r>
    <r>
      <rPr>
        <sz val="11"/>
        <color rgb="FFFFFFFF"/>
        <rFont val="Aptos Narrow"/>
        <family val="2"/>
        <scheme val="minor"/>
      </rPr>
      <t xml:space="preserve"> </t>
    </r>
    <r>
      <rPr>
        <b/>
        <sz val="11"/>
        <color rgb="FFFFFFFF"/>
        <rFont val="Aptos Narrow"/>
        <family val="2"/>
        <scheme val="minor"/>
      </rPr>
      <t>(P)</t>
    </r>
  </si>
  <si>
    <t>Using Cramer's rule to  check for solvability:</t>
  </si>
  <si>
    <t>Det[A]=</t>
  </si>
  <si>
    <t>Case1:</t>
  </si>
  <si>
    <r>
      <rPr>
        <sz val="14"/>
        <color rgb="FFC00000"/>
        <rFont val="Aptos Narrow"/>
        <family val="2"/>
        <scheme val="minor"/>
      </rPr>
      <t>Case2</t>
    </r>
    <r>
      <rPr>
        <sz val="14"/>
        <color theme="1"/>
        <rFont val="Aptos Narrow"/>
        <family val="2"/>
        <scheme val="minor"/>
      </rPr>
      <t>:</t>
    </r>
  </si>
  <si>
    <t>Case3:</t>
  </si>
  <si>
    <r>
      <t xml:space="preserve">If </t>
    </r>
    <r>
      <rPr>
        <b/>
        <sz val="14"/>
        <color rgb="FFC00000"/>
        <rFont val="Aptos Narrow"/>
        <family val="2"/>
        <scheme val="minor"/>
      </rPr>
      <t>atleast 1 of D1,D2,D3 is non-zero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 xml:space="preserve">and </t>
    </r>
    <r>
      <rPr>
        <b/>
        <sz val="14"/>
        <color rgb="FFC00000"/>
        <rFont val="Aptos Narrow"/>
        <family val="2"/>
        <scheme val="minor"/>
      </rPr>
      <t>Det of marix A not equal to 0</t>
    </r>
    <r>
      <rPr>
        <sz val="14"/>
        <color theme="1"/>
        <rFont val="Aptos Narrow"/>
        <family val="2"/>
        <scheme val="minor"/>
      </rPr>
      <t>.</t>
    </r>
  </si>
  <si>
    <t>Case4:</t>
  </si>
  <si>
    <r>
      <t xml:space="preserve">If </t>
    </r>
    <r>
      <rPr>
        <b/>
        <sz val="14"/>
        <color rgb="FFC00000"/>
        <rFont val="Aptos Narrow"/>
        <family val="2"/>
        <scheme val="minor"/>
      </rPr>
      <t xml:space="preserve">D1=D2=D3=0 </t>
    </r>
    <r>
      <rPr>
        <sz val="14"/>
        <color theme="1"/>
        <rFont val="Aptos Narrow"/>
        <family val="2"/>
        <scheme val="minor"/>
      </rPr>
      <t>and</t>
    </r>
    <r>
      <rPr>
        <sz val="14"/>
        <color rgb="FFC00000"/>
        <rFont val="Aptos Narrow"/>
        <family val="2"/>
        <scheme val="minor"/>
      </rPr>
      <t xml:space="preserve"> </t>
    </r>
    <r>
      <rPr>
        <b/>
        <sz val="14"/>
        <color rgb="FFC00000"/>
        <rFont val="Aptos Narrow"/>
        <family val="2"/>
        <scheme val="minor"/>
      </rPr>
      <t>Det of A=0</t>
    </r>
    <r>
      <rPr>
        <sz val="14"/>
        <color theme="1"/>
        <rFont val="Aptos Narrow"/>
        <family val="2"/>
        <scheme val="minor"/>
      </rPr>
      <t>. The equation is said to have</t>
    </r>
    <r>
      <rPr>
        <sz val="14"/>
        <color rgb="FFC00000"/>
        <rFont val="Aptos Narrow"/>
        <family val="2"/>
        <scheme val="minor"/>
      </rPr>
      <t xml:space="preserve"> </t>
    </r>
    <r>
      <rPr>
        <b/>
        <sz val="14"/>
        <color rgb="FFC00000"/>
        <rFont val="Aptos Narrow"/>
        <family val="2"/>
        <scheme val="minor"/>
      </rPr>
      <t>INFINITE SOLUTIONS</t>
    </r>
    <r>
      <rPr>
        <sz val="14"/>
        <color theme="1"/>
        <rFont val="Aptos Narrow"/>
        <family val="2"/>
        <scheme val="minor"/>
      </rPr>
      <t xml:space="preserve"> .</t>
    </r>
  </si>
  <si>
    <r>
      <t xml:space="preserve">If </t>
    </r>
    <r>
      <rPr>
        <b/>
        <sz val="14"/>
        <color rgb="FFC00000"/>
        <rFont val="Aptos Narrow"/>
        <family val="2"/>
        <scheme val="minor"/>
      </rPr>
      <t>D1=D2=D3=0</t>
    </r>
    <r>
      <rPr>
        <sz val="14"/>
        <color rgb="FFC00000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 xml:space="preserve">and </t>
    </r>
    <r>
      <rPr>
        <b/>
        <sz val="14"/>
        <color rgb="FFC00000"/>
        <rFont val="Aptos Narrow"/>
        <family val="2"/>
        <scheme val="minor"/>
      </rPr>
      <t xml:space="preserve">Det of A not equal 0 </t>
    </r>
    <r>
      <rPr>
        <sz val="14"/>
        <color theme="1"/>
        <rFont val="Aptos Narrow"/>
        <family val="2"/>
        <scheme val="minor"/>
      </rPr>
      <t>.The equation is said to have</t>
    </r>
    <r>
      <rPr>
        <b/>
        <sz val="14"/>
        <color rgb="FFC00000"/>
        <rFont val="Aptos Narrow"/>
        <family val="2"/>
        <scheme val="minor"/>
      </rPr>
      <t xml:space="preserve"> UNIQUE TRIVIAL SOLUTION</t>
    </r>
    <r>
      <rPr>
        <sz val="14"/>
        <color rgb="FFC00000"/>
        <rFont val="Aptos Narrow"/>
        <family val="2"/>
        <scheme val="minor"/>
      </rPr>
      <t>.</t>
    </r>
  </si>
  <si>
    <r>
      <t>Then the equation is said to have</t>
    </r>
    <r>
      <rPr>
        <sz val="14"/>
        <color rgb="FFC00000"/>
        <rFont val="Aptos Narrow"/>
        <family val="2"/>
        <scheme val="minor"/>
      </rPr>
      <t xml:space="preserve"> </t>
    </r>
    <r>
      <rPr>
        <b/>
        <sz val="14"/>
        <color rgb="FFC00000"/>
        <rFont val="Aptos Narrow"/>
        <family val="2"/>
        <scheme val="minor"/>
      </rPr>
      <t>UNIQUE NON-TRIVIAL SOLUTION</t>
    </r>
  </si>
  <si>
    <t>D1=</t>
  </si>
  <si>
    <t>D2=</t>
  </si>
  <si>
    <t>D3=</t>
  </si>
  <si>
    <t>X+2Y-3Y=14</t>
  </si>
  <si>
    <t>2X+4Y-6Y=28</t>
  </si>
  <si>
    <t>3X+6Y+9=42</t>
  </si>
  <si>
    <t>STEP2</t>
  </si>
  <si>
    <t>STEP3</t>
  </si>
  <si>
    <t>STEP1</t>
  </si>
  <si>
    <t>P  *  Dn  *  P-1</t>
  </si>
  <si>
    <t>*</t>
  </si>
  <si>
    <t>P  *  D^n</t>
  </si>
  <si>
    <t>P</t>
  </si>
  <si>
    <t>A^n</t>
  </si>
  <si>
    <t>P*Dn*P-1</t>
  </si>
  <si>
    <r>
      <t>(1/det(P)</t>
    </r>
    <r>
      <rPr>
        <sz val="11"/>
        <color theme="1"/>
        <rFont val="Aptos Narrow"/>
        <family val="2"/>
      </rPr>
      <t>)*(Adjoint matrix)</t>
    </r>
  </si>
  <si>
    <t>1/det(P)</t>
  </si>
  <si>
    <t xml:space="preserve">Adjoint </t>
  </si>
  <si>
    <t>Co-Factor</t>
  </si>
  <si>
    <t>Minor</t>
  </si>
  <si>
    <t>det(P)</t>
  </si>
  <si>
    <t>D</t>
  </si>
  <si>
    <t>n</t>
  </si>
  <si>
    <t>POWER</t>
  </si>
  <si>
    <t xml:space="preserve">FINDING P^-1 </t>
  </si>
  <si>
    <t>A</t>
  </si>
  <si>
    <t>P^−1 is the inverse of matrix P</t>
  </si>
  <si>
    <t>D^n is simply the diagonal matrix with each eigenvalue raised to the power n</t>
  </si>
  <si>
    <t>P is a matrix whose columns are the eigenvectors of A</t>
  </si>
  <si>
    <t>A^n is the original matrix</t>
  </si>
  <si>
    <t>Where:</t>
  </si>
  <si>
    <t>This method breaks down a square matrix into three components:</t>
  </si>
  <si>
    <t>We use Eigen Decomposition (or Spectral Decomposition)</t>
  </si>
  <si>
    <t>Finding power of a 3 by 3 matrix</t>
  </si>
  <si>
    <t>Step 6: Solve for the Eigenvector Components</t>
  </si>
  <si>
    <t>R1-R2</t>
  </si>
  <si>
    <t>R3/W177</t>
  </si>
  <si>
    <t>R3-V166(R2)</t>
  </si>
  <si>
    <t xml:space="preserve"> The matrix should look like:</t>
  </si>
  <si>
    <t>Step 5: Continue until the matrix is in row echelon form</t>
  </si>
  <si>
    <t>R2/V159</t>
  </si>
  <si>
    <t>SWAP R2 AND R3</t>
  </si>
  <si>
    <t>Step 4: Make the second element of the second row equal to 1</t>
  </si>
  <si>
    <t>R3-U154(R1)</t>
  </si>
  <si>
    <t>R2-R1</t>
  </si>
  <si>
    <t>Step 3: Eliminate the first variable from the second and third rows</t>
  </si>
  <si>
    <t>SWAP R1 AND R3</t>
  </si>
  <si>
    <t>R1/U146</t>
  </si>
  <si>
    <t>Step 2: Make the first element of the first row equal to 1</t>
  </si>
  <si>
    <t>Step 1: We set up the augmented matrix</t>
  </si>
  <si>
    <t>)</t>
  </si>
  <si>
    <t>(</t>
  </si>
  <si>
    <r>
      <t xml:space="preserve">Replacing </t>
    </r>
    <r>
      <rPr>
        <b/>
        <sz val="11"/>
        <color theme="1"/>
        <rFont val="Aptos Narrow"/>
        <family val="2"/>
      </rPr>
      <t>λ3</t>
    </r>
    <r>
      <rPr>
        <sz val="11"/>
        <color theme="1"/>
        <rFont val="Aptos Narrow"/>
        <family val="2"/>
      </rPr>
      <t xml:space="preserve"> in above equation</t>
    </r>
  </si>
  <si>
    <r>
      <t xml:space="preserve">Replacing </t>
    </r>
    <r>
      <rPr>
        <b/>
        <sz val="11"/>
        <color theme="1"/>
        <rFont val="Aptos Narrow"/>
        <family val="2"/>
      </rPr>
      <t>λ2</t>
    </r>
    <r>
      <rPr>
        <sz val="11"/>
        <color theme="1"/>
        <rFont val="Aptos Narrow"/>
        <family val="2"/>
      </rPr>
      <t xml:space="preserve"> in above equation</t>
    </r>
  </si>
  <si>
    <r>
      <t xml:space="preserve">Replacing </t>
    </r>
    <r>
      <rPr>
        <b/>
        <sz val="11"/>
        <color theme="1"/>
        <rFont val="Aptos Narrow"/>
        <family val="2"/>
      </rPr>
      <t>λ1</t>
    </r>
    <r>
      <rPr>
        <sz val="11"/>
        <color theme="1"/>
        <rFont val="Aptos Narrow"/>
        <family val="2"/>
      </rPr>
      <t xml:space="preserve"> in above equation</t>
    </r>
  </si>
  <si>
    <t>Finding Eigen Values using Gaussian Elimination Method:</t>
  </si>
  <si>
    <t>λ</t>
  </si>
  <si>
    <t>-</t>
  </si>
  <si>
    <r>
      <t xml:space="preserve">For each value of </t>
    </r>
    <r>
      <rPr>
        <sz val="11"/>
        <color theme="1"/>
        <rFont val="Aptos Narrow"/>
        <family val="2"/>
      </rPr>
      <t xml:space="preserve">λ, the equation </t>
    </r>
    <r>
      <rPr>
        <sz val="11"/>
        <color theme="1"/>
        <rFont val="Aptos Narrow"/>
        <family val="2"/>
        <scheme val="minor"/>
      </rPr>
      <t>becomes:</t>
    </r>
  </si>
  <si>
    <t>P*D^n</t>
  </si>
  <si>
    <t>is the eigenvector</t>
  </si>
  <si>
    <t>where: v =</t>
  </si>
  <si>
    <r>
      <t xml:space="preserve">We substitute each value of </t>
    </r>
    <r>
      <rPr>
        <sz val="11"/>
        <color theme="1"/>
        <rFont val="Aptos Narrow"/>
        <family val="2"/>
      </rPr>
      <t>λ in the equation below:</t>
    </r>
  </si>
  <si>
    <r>
      <t xml:space="preserve">Step 2: </t>
    </r>
    <r>
      <rPr>
        <b/>
        <sz val="11"/>
        <color theme="1"/>
        <rFont val="Aptos Narrow"/>
        <family val="2"/>
        <scheme val="minor"/>
      </rPr>
      <t>Find Eigenvectors</t>
    </r>
  </si>
  <si>
    <r>
      <rPr>
        <sz val="11"/>
        <color theme="1"/>
        <rFont val="Aptos Narrow"/>
        <family val="2"/>
      </rPr>
      <t>λ</t>
    </r>
    <r>
      <rPr>
        <sz val="10.1"/>
        <color theme="1"/>
        <rFont val="Aptos Narrow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</si>
  <si>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r>
      <rPr>
        <sz val="11"/>
        <color theme="1"/>
        <rFont val="Aptos Narrow"/>
        <family val="2"/>
      </rPr>
      <t>λ</t>
    </r>
    <r>
      <rPr>
        <sz val="10.1"/>
        <color theme="1"/>
        <rFont val="Aptos Narrow"/>
        <family val="2"/>
      </rPr>
      <t>2</t>
    </r>
    <r>
      <rPr>
        <sz val="11"/>
        <color theme="1"/>
        <rFont val="Aptos Narrow"/>
        <family val="2"/>
        <scheme val="minor"/>
      </rPr>
      <t/>
    </r>
  </si>
  <si>
    <r>
      <rPr>
        <sz val="11"/>
        <color theme="1"/>
        <rFont val="Aptos Narrow"/>
        <family val="2"/>
      </rPr>
      <t>λ</t>
    </r>
    <r>
      <rPr>
        <sz val="10.1"/>
        <color theme="1"/>
        <rFont val="Aptos Narrow"/>
        <family val="2"/>
      </rPr>
      <t>1</t>
    </r>
  </si>
  <si>
    <t>(1/|P|)</t>
  </si>
  <si>
    <t>Reverse the substitution ​ to find the corresponding real roots of the original cubic equation:</t>
  </si>
  <si>
    <t>t3</t>
  </si>
  <si>
    <t>3)</t>
  </si>
  <si>
    <t>t2</t>
  </si>
  <si>
    <t>|P|</t>
  </si>
  <si>
    <t>π</t>
  </si>
  <si>
    <t>2)</t>
  </si>
  <si>
    <t>t1</t>
  </si>
  <si>
    <t>1)</t>
  </si>
  <si>
    <t>Calculate the three roots given by the following trigonometric formulas, which involve dividing the angle θ into thirds and shifting it:</t>
  </si>
  <si>
    <t>r</t>
  </si>
  <si>
    <t>θ</t>
  </si>
  <si>
    <t>Finding r:</t>
  </si>
  <si>
    <t>Calculate the angle θ:</t>
  </si>
  <si>
    <r>
      <t xml:space="preserve">Step 3: </t>
    </r>
    <r>
      <rPr>
        <b/>
        <sz val="11"/>
        <color theme="1"/>
        <rFont val="Aptos Narrow"/>
        <family val="2"/>
        <scheme val="minor"/>
      </rPr>
      <t>Since Δ&lt;0, the cubic has three real roots using trigonometric identities</t>
    </r>
  </si>
  <si>
    <t>Finding power of a 2 by 2 matrix</t>
  </si>
  <si>
    <t>Find the discriminant using:</t>
  </si>
  <si>
    <r>
      <t xml:space="preserve">Step 2: </t>
    </r>
    <r>
      <rPr>
        <b/>
        <sz val="11"/>
        <color theme="1"/>
        <rFont val="Aptos Narrow"/>
        <family val="2"/>
        <scheme val="minor"/>
      </rPr>
      <t>Solve the depressed cubic</t>
    </r>
  </si>
  <si>
    <t>q</t>
  </si>
  <si>
    <t>p</t>
  </si>
  <si>
    <t>+</t>
  </si>
  <si>
    <t>This simplifies to the equation to:</t>
  </si>
  <si>
    <t>Depressed cubic (without the t^2 term):</t>
  </si>
  <si>
    <t xml:space="preserve"> Remove the quadratic term by substituting:</t>
  </si>
  <si>
    <r>
      <t xml:space="preserve">Step 1: </t>
    </r>
    <r>
      <rPr>
        <b/>
        <sz val="11"/>
        <color theme="1"/>
        <rFont val="Aptos Narrow"/>
        <family val="2"/>
        <scheme val="minor"/>
      </rPr>
      <t>Transform the cubic equation into a simplified form</t>
    </r>
  </si>
  <si>
    <t>Finding Eigen Values using Cardano Method:</t>
  </si>
  <si>
    <t>d</t>
  </si>
  <si>
    <t>c</t>
  </si>
  <si>
    <t>b</t>
  </si>
  <si>
    <t>a</t>
  </si>
  <si>
    <t xml:space="preserve">COEFFICIENTS </t>
  </si>
  <si>
    <t>By comparison:</t>
  </si>
  <si>
    <t>Cubic Equation:</t>
  </si>
  <si>
    <t>λ2</t>
  </si>
  <si>
    <t>λ1</t>
  </si>
  <si>
    <t>|</t>
  </si>
  <si>
    <t>λ   =</t>
  </si>
  <si>
    <t>Calculating determinant matrix</t>
  </si>
  <si>
    <t>Expanding and solving quadratic formula:</t>
  </si>
  <si>
    <t>det:</t>
  </si>
  <si>
    <t>Using Characteristic Equation:</t>
  </si>
  <si>
    <r>
      <t xml:space="preserve">Step 1: </t>
    </r>
    <r>
      <rPr>
        <b/>
        <sz val="11"/>
        <color theme="1"/>
        <rFont val="Aptos Narrow"/>
        <family val="2"/>
        <scheme val="minor"/>
      </rPr>
      <t>Find Eigenvalues</t>
    </r>
  </si>
  <si>
    <t>3 x 3 MATRIX</t>
  </si>
  <si>
    <t>Step 1: Find Eigenvalues</t>
  </si>
  <si>
    <t>Step 2: Find Eigenvectors</t>
  </si>
  <si>
    <t>Find the eigenvectors for each eigenvalue by substituting each value of λ in the below equation:</t>
  </si>
  <si>
    <t>Replacing λ1 in above equation</t>
  </si>
  <si>
    <t>Replacing λ2 in above equation</t>
  </si>
  <si>
    <t>(1/|P|)*(Adjoint marix)</t>
  </si>
  <si>
    <t>If Δ &gt; 0 → One real root, two complex roots</t>
  </si>
  <si>
    <t>If Δ = 0 → All real roots (multiple)</t>
  </si>
  <si>
    <t>If Δ &lt; 0 → Three real roots</t>
  </si>
  <si>
    <t>vector2</t>
  </si>
  <si>
    <t>vector3</t>
  </si>
  <si>
    <t>vector1</t>
  </si>
  <si>
    <r>
      <t xml:space="preserve">If </t>
    </r>
    <r>
      <rPr>
        <b/>
        <sz val="14"/>
        <color rgb="FFC00000"/>
        <rFont val="Aptos Narrow"/>
        <family val="2"/>
        <scheme val="minor"/>
      </rPr>
      <t>Det of matrix A&lt;&gt;0</t>
    </r>
    <r>
      <rPr>
        <sz val="14"/>
        <color theme="1"/>
        <rFont val="Aptos Narrow"/>
        <family val="2"/>
        <scheme val="minor"/>
      </rPr>
      <t xml:space="preserve"> then the equation is said to have </t>
    </r>
    <r>
      <rPr>
        <b/>
        <sz val="14"/>
        <color rgb="FFC00000"/>
        <rFont val="Aptos Narrow"/>
        <family val="2"/>
        <scheme val="minor"/>
      </rPr>
      <t>UNIQUE SOLUTION</t>
    </r>
    <r>
      <rPr>
        <sz val="14"/>
        <color theme="1"/>
        <rFont val="Aptos Narrow"/>
        <family val="2"/>
        <scheme val="minor"/>
      </rPr>
      <t>.</t>
    </r>
  </si>
  <si>
    <t>Example:</t>
  </si>
  <si>
    <t>*Applies for both Gauss jacobi and Gauss seidel</t>
  </si>
  <si>
    <t>Inverse of 2x2 Matrix:</t>
  </si>
  <si>
    <t>inverse=</t>
  </si>
  <si>
    <t>1/det *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</si>
</sst>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rgb="FF7030A0"/>
      <name val="Forte"/>
      <family val="4"/>
    </font>
    <font>
      <b/>
      <sz val="11"/>
      <color rgb="FF7030A0"/>
      <name val="Aptos Narrow"/>
      <family val="2"/>
      <scheme val="minor"/>
    </font>
    <font>
      <b/>
      <sz val="11"/>
      <name val="Aptos Narrow"/>
      <family val="2"/>
    </font>
    <font>
      <sz val="11"/>
      <color theme="0"/>
      <name val="Forte"/>
      <family val="4"/>
    </font>
    <font>
      <b/>
      <sz val="11"/>
      <color rgb="FF7030A0"/>
      <name val="Forte"/>
      <family val="4"/>
    </font>
    <font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4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4"/>
      <color rgb="FF7030A0"/>
      <name val="Forte"/>
      <family val="4"/>
    </font>
    <font>
      <sz val="14"/>
      <color rgb="FF004F88"/>
      <name val="Aptos Narrow"/>
      <family val="2"/>
      <scheme val="minor"/>
    </font>
    <font>
      <i/>
      <sz val="14"/>
      <color rgb="FF004F88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sz val="36"/>
      <color theme="1"/>
      <name val="Aptos Narrow"/>
      <family val="2"/>
    </font>
    <font>
      <b/>
      <sz val="11"/>
      <color theme="1"/>
      <name val="Aptos Narrow"/>
      <family val="2"/>
    </font>
    <font>
      <sz val="10.1"/>
      <color theme="1"/>
      <name val="Aptos Narrow"/>
      <family val="2"/>
    </font>
    <font>
      <sz val="72"/>
      <color theme="1"/>
      <name val="Aptos Narrow"/>
      <family val="2"/>
    </font>
    <font>
      <sz val="26"/>
      <color theme="1"/>
      <name val="Aptos Narrow"/>
      <family val="2"/>
    </font>
    <font>
      <b/>
      <sz val="2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DCB9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0" borderId="0" xfId="0" applyFont="1"/>
    <xf numFmtId="0" fontId="5" fillId="3" borderId="0" xfId="0" applyFont="1" applyFill="1"/>
    <xf numFmtId="0" fontId="7" fillId="2" borderId="0" xfId="0" applyFont="1" applyFill="1"/>
    <xf numFmtId="0" fontId="2" fillId="0" borderId="0" xfId="0" applyFont="1"/>
    <xf numFmtId="0" fontId="8" fillId="0" borderId="0" xfId="0" applyFont="1"/>
    <xf numFmtId="0" fontId="0" fillId="0" borderId="1" xfId="0" applyBorder="1"/>
    <xf numFmtId="0" fontId="0" fillId="0" borderId="3" xfId="0" applyBorder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9" fillId="0" borderId="0" xfId="0" applyFont="1"/>
    <xf numFmtId="0" fontId="9" fillId="0" borderId="2" xfId="0" applyFont="1" applyBorder="1" applyAlignment="1">
      <alignment horizontal="center"/>
    </xf>
    <xf numFmtId="0" fontId="0" fillId="0" borderId="4" xfId="0" applyBorder="1"/>
    <xf numFmtId="0" fontId="10" fillId="5" borderId="0" xfId="0" applyFont="1" applyFill="1"/>
    <xf numFmtId="0" fontId="0" fillId="6" borderId="0" xfId="0" applyFill="1"/>
    <xf numFmtId="0" fontId="0" fillId="5" borderId="0" xfId="0" applyFill="1"/>
    <xf numFmtId="0" fontId="11" fillId="5" borderId="0" xfId="0" applyFont="1" applyFill="1"/>
    <xf numFmtId="0" fontId="0" fillId="7" borderId="0" xfId="0" applyFill="1"/>
    <xf numFmtId="0" fontId="7" fillId="0" borderId="0" xfId="0" applyFont="1"/>
    <xf numFmtId="0" fontId="0" fillId="8" borderId="0" xfId="0" applyFill="1"/>
    <xf numFmtId="0" fontId="10" fillId="6" borderId="0" xfId="0" applyFont="1" applyFill="1"/>
    <xf numFmtId="0" fontId="12" fillId="6" borderId="0" xfId="0" applyFont="1" applyFill="1"/>
    <xf numFmtId="0" fontId="13" fillId="0" borderId="0" xfId="0" applyFont="1"/>
    <xf numFmtId="0" fontId="0" fillId="9" borderId="0" xfId="0" applyFill="1"/>
    <xf numFmtId="0" fontId="16" fillId="0" borderId="0" xfId="0" applyFont="1"/>
    <xf numFmtId="0" fontId="22" fillId="10" borderId="0" xfId="0" applyFont="1" applyFill="1"/>
    <xf numFmtId="0" fontId="0" fillId="10" borderId="0" xfId="0" applyFill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12" xfId="0" applyBorder="1"/>
    <xf numFmtId="0" fontId="0" fillId="0" borderId="6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11" borderId="0" xfId="0" applyFill="1"/>
    <xf numFmtId="0" fontId="0" fillId="4" borderId="6" xfId="0" applyFill="1" applyBorder="1" applyAlignment="1">
      <alignment horizontal="center"/>
    </xf>
    <xf numFmtId="0" fontId="11" fillId="7" borderId="0" xfId="0" applyFont="1" applyFill="1"/>
    <xf numFmtId="0" fontId="9" fillId="7" borderId="0" xfId="0" applyFont="1" applyFill="1"/>
    <xf numFmtId="0" fontId="11" fillId="7" borderId="0" xfId="0" applyFont="1" applyFill="1"/>
    <xf numFmtId="0" fontId="9" fillId="7" borderId="0" xfId="0" applyFont="1" applyFill="1"/>
    <xf numFmtId="0" fontId="15" fillId="10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19" fillId="10" borderId="10" xfId="0" applyFont="1" applyFill="1" applyBorder="1" applyAlignment="1">
      <alignment horizontal="center"/>
    </xf>
    <xf numFmtId="0" fontId="19" fillId="10" borderId="9" xfId="0" applyFont="1" applyFill="1" applyBorder="1" applyAlignment="1">
      <alignment horizontal="center"/>
    </xf>
    <xf numFmtId="0" fontId="19" fillId="10" borderId="8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0" xfId="0" applyBorder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/>
    <xf numFmtId="0" fontId="0" fillId="0" borderId="17" xfId="0" applyBorder="1"/>
    <xf numFmtId="0" fontId="0" fillId="0" borderId="16" xfId="0" applyBorder="1"/>
    <xf numFmtId="0" fontId="20" fillId="0" borderId="0" xfId="0" applyFont="1"/>
    <xf numFmtId="0" fontId="0" fillId="12" borderId="0" xfId="0" applyFill="1"/>
    <xf numFmtId="0" fontId="0" fillId="0" borderId="0" xfId="0" applyFill="1" applyAlignment="1">
      <alignment horizontal="left"/>
    </xf>
    <xf numFmtId="0" fontId="0" fillId="0" borderId="0" xfId="0" applyFill="1"/>
    <xf numFmtId="0" fontId="28" fillId="0" borderId="0" xfId="0" applyFont="1" applyFill="1" applyAlignment="1">
      <alignment horizontal="center" vertical="center"/>
    </xf>
    <xf numFmtId="0" fontId="0" fillId="0" borderId="6" xfId="0" applyFill="1" applyBorder="1"/>
    <xf numFmtId="0" fontId="0" fillId="0" borderId="0" xfId="0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3" fillId="0" borderId="6" xfId="0" applyFont="1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29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0" fillId="0" borderId="0" xfId="0" applyFill="1" applyAlignment="1">
      <alignment horizontal="right"/>
    </xf>
    <xf numFmtId="0" fontId="2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3" fillId="0" borderId="0" xfId="0" applyFont="1" applyFill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0" borderId="15" xfId="0" applyFill="1" applyBorder="1"/>
    <xf numFmtId="0" fontId="0" fillId="0" borderId="14" xfId="0" applyFill="1" applyBorder="1" applyAlignment="1">
      <alignment horizontal="center"/>
    </xf>
    <xf numFmtId="0" fontId="0" fillId="0" borderId="13" xfId="0" applyFill="1" applyBorder="1"/>
    <xf numFmtId="0" fontId="0" fillId="0" borderId="1" xfId="0" applyFill="1" applyBorder="1"/>
    <xf numFmtId="0" fontId="0" fillId="0" borderId="3" xfId="0" applyFill="1" applyBorder="1"/>
    <xf numFmtId="0" fontId="0" fillId="0" borderId="12" xfId="0" applyFill="1" applyBorder="1"/>
    <xf numFmtId="0" fontId="0" fillId="0" borderId="7" xfId="0" applyFill="1" applyBorder="1" applyAlignment="1">
      <alignment horizontal="center"/>
    </xf>
    <xf numFmtId="0" fontId="0" fillId="0" borderId="11" xfId="0" applyFill="1" applyBorder="1"/>
    <xf numFmtId="0" fontId="0" fillId="0" borderId="0" xfId="0" applyFill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8" xfId="0" applyFill="1" applyBorder="1"/>
    <xf numFmtId="0" fontId="0" fillId="0" borderId="10" xfId="0" applyFill="1" applyBorder="1"/>
    <xf numFmtId="0" fontId="0" fillId="0" borderId="0" xfId="0" applyFill="1" applyAlignment="1">
      <alignment horizontal="left" wrapText="1"/>
    </xf>
    <xf numFmtId="0" fontId="0" fillId="0" borderId="0" xfId="0" applyFill="1" applyAlignment="1">
      <alignment wrapText="1"/>
    </xf>
    <xf numFmtId="0" fontId="23" fillId="0" borderId="15" xfId="0" applyFont="1" applyFill="1" applyBorder="1" applyAlignment="1">
      <alignment horizontal="center"/>
    </xf>
    <xf numFmtId="0" fontId="2" fillId="0" borderId="0" xfId="0" applyFont="1" applyFill="1" applyAlignment="1">
      <alignment vertical="center"/>
    </xf>
    <xf numFmtId="0" fontId="23" fillId="0" borderId="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5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0" xfId="0" applyFont="1" applyFill="1"/>
    <xf numFmtId="0" fontId="0" fillId="0" borderId="17" xfId="0" applyFill="1" applyBorder="1"/>
    <xf numFmtId="0" fontId="0" fillId="0" borderId="2" xfId="0" applyFill="1" applyBorder="1"/>
    <xf numFmtId="0" fontId="0" fillId="0" borderId="16" xfId="0" applyFill="1" applyBorder="1"/>
    <xf numFmtId="0" fontId="0" fillId="0" borderId="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Fill="1" applyBorder="1" applyAlignment="1">
      <alignment vertical="center"/>
    </xf>
    <xf numFmtId="0" fontId="0" fillId="0" borderId="12" xfId="0" applyFill="1" applyBorder="1" applyAlignment="1">
      <alignment horizontal="center"/>
    </xf>
    <xf numFmtId="0" fontId="0" fillId="0" borderId="7" xfId="0" applyFill="1" applyBorder="1"/>
    <xf numFmtId="0" fontId="0" fillId="0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/>
    <xf numFmtId="0" fontId="19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3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24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2" fillId="0" borderId="0" xfId="0" applyFont="1"/>
    <xf numFmtId="0" fontId="22" fillId="0" borderId="0" xfId="0" applyFont="1" applyFill="1"/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 vertical="center"/>
    </xf>
    <xf numFmtId="0" fontId="20" fillId="0" borderId="15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  <xf numFmtId="0" fontId="20" fillId="0" borderId="13" xfId="0" applyFont="1" applyFill="1" applyBorder="1" applyAlignment="1">
      <alignment horizontal="center"/>
    </xf>
    <xf numFmtId="0" fontId="0" fillId="7" borderId="0" xfId="0" applyFill="1" applyAlignment="1">
      <alignment horizontal="left"/>
    </xf>
    <xf numFmtId="0" fontId="9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DCB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6" Type="http://schemas.openxmlformats.org/officeDocument/2006/relationships/image" Target="../media/image23.png"/><Relationship Id="rId1" Type="http://schemas.openxmlformats.org/officeDocument/2006/relationships/image" Target="../media/image1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9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1150620</xdr:colOff>
      <xdr:row>20</xdr:row>
      <xdr:rowOff>144780</xdr:rowOff>
    </xdr:from>
    <xdr:ext cx="3810097" cy="904768"/>
    <xdr:pic>
      <xdr:nvPicPr>
        <xdr:cNvPr id="3" name="Picture 2" descr="Trick to calculate determinant of a 3x3 matrix - GeeksforGeeks">
          <a:extLst>
            <a:ext uri="{FF2B5EF4-FFF2-40B4-BE49-F238E27FC236}">
              <a16:creationId xmlns:a16="http://schemas.microsoft.com/office/drawing/2014/main" id="{9B991DD2-C687-4675-A66F-44C5AD7F4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2980" y="3825240"/>
          <a:ext cx="3810097" cy="904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16</xdr:row>
      <xdr:rowOff>45720</xdr:rowOff>
    </xdr:from>
    <xdr:to>
      <xdr:col>2</xdr:col>
      <xdr:colOff>464820</xdr:colOff>
      <xdr:row>25</xdr:row>
      <xdr:rowOff>24289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690B4-97A9-C536-4F20-9517E22B2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94660"/>
          <a:ext cx="2887980" cy="1624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114300</xdr:rowOff>
    </xdr:from>
    <xdr:to>
      <xdr:col>7</xdr:col>
      <xdr:colOff>281940</xdr:colOff>
      <xdr:row>17</xdr:row>
      <xdr:rowOff>111637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878115-43DE-C3B3-701E-785243B53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65760"/>
          <a:ext cx="4450080" cy="2923417"/>
        </a:xfrm>
        <a:prstGeom prst="rect">
          <a:avLst/>
        </a:prstGeom>
      </xdr:spPr>
    </xdr:pic>
    <xdr:clientData/>
  </xdr:twoCellAnchor>
  <xdr:twoCellAnchor editAs="oneCell">
    <xdr:from>
      <xdr:col>7</xdr:col>
      <xdr:colOff>335280</xdr:colOff>
      <xdr:row>1</xdr:row>
      <xdr:rowOff>76200</xdr:rowOff>
    </xdr:from>
    <xdr:to>
      <xdr:col>15</xdr:col>
      <xdr:colOff>30480</xdr:colOff>
      <xdr:row>17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C1012F-B185-8068-75A2-DF1902847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480" y="327660"/>
          <a:ext cx="6141720" cy="29946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99060</xdr:rowOff>
    </xdr:from>
    <xdr:to>
      <xdr:col>5</xdr:col>
      <xdr:colOff>1074420</xdr:colOff>
      <xdr:row>23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89B09B-510B-F9CE-0CFB-A0BB0515F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0"/>
          <a:ext cx="5753100" cy="39014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541020</xdr:colOff>
      <xdr:row>26</xdr:row>
      <xdr:rowOff>7621</xdr:rowOff>
    </xdr:from>
    <xdr:to>
      <xdr:col>15</xdr:col>
      <xdr:colOff>180520</xdr:colOff>
      <xdr:row>39</xdr:row>
      <xdr:rowOff>144781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691A7-4627-436B-EE56-96501AC15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1320" y="4899661"/>
          <a:ext cx="4516300" cy="2560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464820</xdr:colOff>
      <xdr:row>22</xdr:row>
      <xdr:rowOff>7620</xdr:rowOff>
    </xdr:from>
    <xdr:to>
      <xdr:col>10</xdr:col>
      <xdr:colOff>83820</xdr:colOff>
      <xdr:row>45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3BE4F2-C02E-DBD3-9C73-28466B010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160" y="4099560"/>
          <a:ext cx="5250180" cy="43510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510540</xdr:colOff>
      <xdr:row>24</xdr:row>
      <xdr:rowOff>60960</xdr:rowOff>
    </xdr:from>
    <xdr:to>
      <xdr:col>9</xdr:col>
      <xdr:colOff>464820</xdr:colOff>
      <xdr:row>40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BE7560-56F6-1840-144A-BF492A8A4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518660"/>
          <a:ext cx="5410200" cy="29413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541021</xdr:colOff>
      <xdr:row>23</xdr:row>
      <xdr:rowOff>91440</xdr:rowOff>
    </xdr:from>
    <xdr:to>
      <xdr:col>3</xdr:col>
      <xdr:colOff>365760</xdr:colOff>
      <xdr:row>27</xdr:row>
      <xdr:rowOff>90725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933D7-F6F9-04A6-4238-C699AF191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1" y="4343400"/>
          <a:ext cx="1653539" cy="730805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78</xdr:row>
      <xdr:rowOff>0</xdr:rowOff>
    </xdr:from>
    <xdr:ext cx="1449341" cy="279588"/>
    <xdr:pic>
      <xdr:nvPicPr>
        <xdr:cNvPr id="5" name="Picture 4">
          <a:extLst>
            <a:ext uri="{FF2B5EF4-FFF2-40B4-BE49-F238E27FC236}">
              <a16:creationId xmlns:a16="http://schemas.microsoft.com/office/drawing/2014/main" id="{FC51CB86-1C9D-46D7-AA16-C3E4D8B89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4310360"/>
          <a:ext cx="1449341" cy="27958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594529</xdr:colOff>
      <xdr:row>22</xdr:row>
      <xdr:rowOff>175356</xdr:rowOff>
    </xdr:from>
    <xdr:ext cx="3810097" cy="904768"/>
    <xdr:pic>
      <xdr:nvPicPr>
        <xdr:cNvPr id="2" name="Picture 1" descr="Trick to calculate determinant of a 3x3 matrix - GeeksforGeeks">
          <a:extLst>
            <a:ext uri="{FF2B5EF4-FFF2-40B4-BE49-F238E27FC236}">
              <a16:creationId xmlns:a16="http://schemas.microsoft.com/office/drawing/2014/main" id="{F072D247-7895-4D0B-AEE2-352C81E1F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7329" y="4198716"/>
          <a:ext cx="3810097" cy="904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106681</xdr:colOff>
      <xdr:row>39</xdr:row>
      <xdr:rowOff>101285</xdr:rowOff>
    </xdr:from>
    <xdr:ext cx="2214211" cy="313104"/>
    <xdr:pic>
      <xdr:nvPicPr>
        <xdr:cNvPr id="3" name="Picture 2" descr="Solving Cubic Equations – Methods &amp; Examples">
          <a:extLst>
            <a:ext uri="{FF2B5EF4-FFF2-40B4-BE49-F238E27FC236}">
              <a16:creationId xmlns:a16="http://schemas.microsoft.com/office/drawing/2014/main" id="{731FBC60-E02C-4C36-A155-CC78C6882E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67" t="65600" r="29245" b="22845"/>
        <a:stretch/>
      </xdr:blipFill>
      <xdr:spPr bwMode="auto">
        <a:xfrm>
          <a:off x="13517881" y="7233605"/>
          <a:ext cx="2214211" cy="313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190500</xdr:colOff>
      <xdr:row>54</xdr:row>
      <xdr:rowOff>16566</xdr:rowOff>
    </xdr:from>
    <xdr:ext cx="1180922" cy="513012"/>
    <xdr:pic>
      <xdr:nvPicPr>
        <xdr:cNvPr id="4" name="Picture 3">
          <a:extLst>
            <a:ext uri="{FF2B5EF4-FFF2-40B4-BE49-F238E27FC236}">
              <a16:creationId xmlns:a16="http://schemas.microsoft.com/office/drawing/2014/main" id="{CAC64B48-916C-4FDE-9B4E-2D7F5C4BC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20900" y="9892086"/>
          <a:ext cx="1180922" cy="513012"/>
        </a:xfrm>
        <a:prstGeom prst="rect">
          <a:avLst/>
        </a:prstGeom>
      </xdr:spPr>
    </xdr:pic>
    <xdr:clientData/>
  </xdr:oneCellAnchor>
  <xdr:oneCellAnchor>
    <xdr:from>
      <xdr:col>24</xdr:col>
      <xdr:colOff>57978</xdr:colOff>
      <xdr:row>54</xdr:row>
      <xdr:rowOff>49696</xdr:rowOff>
    </xdr:from>
    <xdr:ext cx="440659" cy="395692"/>
    <xdr:pic>
      <xdr:nvPicPr>
        <xdr:cNvPr id="5" name="Picture 4">
          <a:extLst>
            <a:ext uri="{FF2B5EF4-FFF2-40B4-BE49-F238E27FC236}">
              <a16:creationId xmlns:a16="http://schemas.microsoft.com/office/drawing/2014/main" id="{8388546C-EAB0-428C-B988-5A9CBD78B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88378" y="9925216"/>
          <a:ext cx="440659" cy="395692"/>
        </a:xfrm>
        <a:prstGeom prst="rect">
          <a:avLst/>
        </a:prstGeom>
      </xdr:spPr>
    </xdr:pic>
    <xdr:clientData/>
  </xdr:oneCellAnchor>
  <xdr:oneCellAnchor>
    <xdr:from>
      <xdr:col>22</xdr:col>
      <xdr:colOff>281609</xdr:colOff>
      <xdr:row>40</xdr:row>
      <xdr:rowOff>33130</xdr:rowOff>
    </xdr:from>
    <xdr:ext cx="140803" cy="187028"/>
    <xdr:pic>
      <xdr:nvPicPr>
        <xdr:cNvPr id="6" name="Picture 5">
          <a:extLst>
            <a:ext uri="{FF2B5EF4-FFF2-40B4-BE49-F238E27FC236}">
              <a16:creationId xmlns:a16="http://schemas.microsoft.com/office/drawing/2014/main" id="{D5DD8506-5250-4BB3-B4F9-C8F3728B5B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0558" t="33542" r="23334" b="3171"/>
        <a:stretch/>
      </xdr:blipFill>
      <xdr:spPr>
        <a:xfrm>
          <a:off x="13692809" y="7348330"/>
          <a:ext cx="140803" cy="187028"/>
        </a:xfrm>
        <a:prstGeom prst="rect">
          <a:avLst/>
        </a:prstGeom>
      </xdr:spPr>
    </xdr:pic>
    <xdr:clientData/>
  </xdr:oneCellAnchor>
  <xdr:oneCellAnchor>
    <xdr:from>
      <xdr:col>23</xdr:col>
      <xdr:colOff>226944</xdr:colOff>
      <xdr:row>40</xdr:row>
      <xdr:rowOff>36443</xdr:rowOff>
    </xdr:from>
    <xdr:ext cx="150328" cy="185123"/>
    <xdr:pic>
      <xdr:nvPicPr>
        <xdr:cNvPr id="7" name="Picture 6">
          <a:extLst>
            <a:ext uri="{FF2B5EF4-FFF2-40B4-BE49-F238E27FC236}">
              <a16:creationId xmlns:a16="http://schemas.microsoft.com/office/drawing/2014/main" id="{2B3A86DC-9EDE-4A7C-AF56-9000AFC3B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0558" t="33542" r="23334" b="3171"/>
        <a:stretch/>
      </xdr:blipFill>
      <xdr:spPr>
        <a:xfrm>
          <a:off x="14247744" y="7351643"/>
          <a:ext cx="150328" cy="185123"/>
        </a:xfrm>
        <a:prstGeom prst="rect">
          <a:avLst/>
        </a:prstGeom>
      </xdr:spPr>
    </xdr:pic>
    <xdr:clientData/>
  </xdr:oneCellAnchor>
  <xdr:oneCellAnchor>
    <xdr:from>
      <xdr:col>24</xdr:col>
      <xdr:colOff>188844</xdr:colOff>
      <xdr:row>40</xdr:row>
      <xdr:rowOff>31474</xdr:rowOff>
    </xdr:from>
    <xdr:ext cx="150328" cy="188933"/>
    <xdr:pic>
      <xdr:nvPicPr>
        <xdr:cNvPr id="8" name="Picture 7">
          <a:extLst>
            <a:ext uri="{FF2B5EF4-FFF2-40B4-BE49-F238E27FC236}">
              <a16:creationId xmlns:a16="http://schemas.microsoft.com/office/drawing/2014/main" id="{96EFD277-4AF0-41C7-9D16-694411598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0558" t="33542" r="23334" b="3171"/>
        <a:stretch/>
      </xdr:blipFill>
      <xdr:spPr>
        <a:xfrm>
          <a:off x="14819244" y="7346674"/>
          <a:ext cx="150328" cy="188933"/>
        </a:xfrm>
        <a:prstGeom prst="rect">
          <a:avLst/>
        </a:prstGeom>
      </xdr:spPr>
    </xdr:pic>
    <xdr:clientData/>
  </xdr:oneCellAnchor>
  <xdr:oneCellAnchor>
    <xdr:from>
      <xdr:col>24</xdr:col>
      <xdr:colOff>49696</xdr:colOff>
      <xdr:row>58</xdr:row>
      <xdr:rowOff>139579</xdr:rowOff>
    </xdr:from>
    <xdr:ext cx="1431305" cy="304903"/>
    <xdr:pic>
      <xdr:nvPicPr>
        <xdr:cNvPr id="9" name="Picture 8">
          <a:extLst>
            <a:ext uri="{FF2B5EF4-FFF2-40B4-BE49-F238E27FC236}">
              <a16:creationId xmlns:a16="http://schemas.microsoft.com/office/drawing/2014/main" id="{2363EEE0-26B3-4FE8-B168-F0AFBEF91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80096" y="10746619"/>
          <a:ext cx="1431305" cy="304903"/>
        </a:xfrm>
        <a:prstGeom prst="rect">
          <a:avLst/>
        </a:prstGeom>
      </xdr:spPr>
    </xdr:pic>
    <xdr:clientData/>
  </xdr:oneCellAnchor>
  <xdr:oneCellAnchor>
    <xdr:from>
      <xdr:col>20</xdr:col>
      <xdr:colOff>57979</xdr:colOff>
      <xdr:row>62</xdr:row>
      <xdr:rowOff>81104</xdr:rowOff>
    </xdr:from>
    <xdr:ext cx="1118270" cy="480330"/>
    <xdr:pic>
      <xdr:nvPicPr>
        <xdr:cNvPr id="10" name="Picture 9">
          <a:extLst>
            <a:ext uri="{FF2B5EF4-FFF2-40B4-BE49-F238E27FC236}">
              <a16:creationId xmlns:a16="http://schemas.microsoft.com/office/drawing/2014/main" id="{E83E1311-1EEA-4B2A-8774-46755994A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49979" y="11419664"/>
          <a:ext cx="1118270" cy="480330"/>
        </a:xfrm>
        <a:prstGeom prst="rect">
          <a:avLst/>
        </a:prstGeom>
      </xdr:spPr>
    </xdr:pic>
    <xdr:clientData/>
  </xdr:oneCellAnchor>
  <xdr:oneCellAnchor>
    <xdr:from>
      <xdr:col>24</xdr:col>
      <xdr:colOff>24848</xdr:colOff>
      <xdr:row>62</xdr:row>
      <xdr:rowOff>81364</xdr:rowOff>
    </xdr:from>
    <xdr:ext cx="1834124" cy="478813"/>
    <xdr:pic>
      <xdr:nvPicPr>
        <xdr:cNvPr id="11" name="Picture 10">
          <a:extLst>
            <a:ext uri="{FF2B5EF4-FFF2-40B4-BE49-F238E27FC236}">
              <a16:creationId xmlns:a16="http://schemas.microsoft.com/office/drawing/2014/main" id="{0381B1D5-FC97-47AD-9E50-2A87A47AB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55248" y="11419924"/>
          <a:ext cx="1834124" cy="478813"/>
        </a:xfrm>
        <a:prstGeom prst="rect">
          <a:avLst/>
        </a:prstGeom>
      </xdr:spPr>
    </xdr:pic>
    <xdr:clientData/>
  </xdr:oneCellAnchor>
  <xdr:oneCellAnchor>
    <xdr:from>
      <xdr:col>23</xdr:col>
      <xdr:colOff>41413</xdr:colOff>
      <xdr:row>70</xdr:row>
      <xdr:rowOff>91109</xdr:rowOff>
    </xdr:from>
    <xdr:ext cx="1398786" cy="392607"/>
    <xdr:pic>
      <xdr:nvPicPr>
        <xdr:cNvPr id="12" name="Picture 11">
          <a:extLst>
            <a:ext uri="{FF2B5EF4-FFF2-40B4-BE49-F238E27FC236}">
              <a16:creationId xmlns:a16="http://schemas.microsoft.com/office/drawing/2014/main" id="{CCC2B651-55F6-4DC1-8CBE-0580D0F9D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62213" y="12892709"/>
          <a:ext cx="1398786" cy="392607"/>
        </a:xfrm>
        <a:prstGeom prst="rect">
          <a:avLst/>
        </a:prstGeom>
      </xdr:spPr>
    </xdr:pic>
    <xdr:clientData/>
  </xdr:oneCellAnchor>
  <xdr:oneCellAnchor>
    <xdr:from>
      <xdr:col>22</xdr:col>
      <xdr:colOff>246160</xdr:colOff>
      <xdr:row>73</xdr:row>
      <xdr:rowOff>33129</xdr:rowOff>
    </xdr:from>
    <xdr:ext cx="131611" cy="146520"/>
    <xdr:pic>
      <xdr:nvPicPr>
        <xdr:cNvPr id="13" name="Picture 12">
          <a:extLst>
            <a:ext uri="{FF2B5EF4-FFF2-40B4-BE49-F238E27FC236}">
              <a16:creationId xmlns:a16="http://schemas.microsoft.com/office/drawing/2014/main" id="{A352EA6E-467C-4B13-9593-BDDD8AA9E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705" t="21333" r="84948" b="23111"/>
        <a:stretch/>
      </xdr:blipFill>
      <xdr:spPr>
        <a:xfrm>
          <a:off x="14266960" y="13383369"/>
          <a:ext cx="131611" cy="146520"/>
        </a:xfrm>
        <a:prstGeom prst="rect">
          <a:avLst/>
        </a:prstGeom>
      </xdr:spPr>
    </xdr:pic>
    <xdr:clientData/>
  </xdr:oneCellAnchor>
  <xdr:oneCellAnchor>
    <xdr:from>
      <xdr:col>22</xdr:col>
      <xdr:colOff>124240</xdr:colOff>
      <xdr:row>76</xdr:row>
      <xdr:rowOff>99392</xdr:rowOff>
    </xdr:from>
    <xdr:ext cx="1437681" cy="464113"/>
    <xdr:pic>
      <xdr:nvPicPr>
        <xdr:cNvPr id="14" name="Picture 13">
          <a:extLst>
            <a:ext uri="{FF2B5EF4-FFF2-40B4-BE49-F238E27FC236}">
              <a16:creationId xmlns:a16="http://schemas.microsoft.com/office/drawing/2014/main" id="{45BE7D6B-0C8B-4F63-A918-BF83C08F08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375" b="12699"/>
        <a:stretch/>
      </xdr:blipFill>
      <xdr:spPr>
        <a:xfrm>
          <a:off x="13535440" y="13998272"/>
          <a:ext cx="1437681" cy="464113"/>
        </a:xfrm>
        <a:prstGeom prst="rect">
          <a:avLst/>
        </a:prstGeom>
      </xdr:spPr>
    </xdr:pic>
    <xdr:clientData/>
  </xdr:oneCellAnchor>
  <xdr:oneCellAnchor>
    <xdr:from>
      <xdr:col>28</xdr:col>
      <xdr:colOff>99392</xdr:colOff>
      <xdr:row>76</xdr:row>
      <xdr:rowOff>74544</xdr:rowOff>
    </xdr:from>
    <xdr:ext cx="848085" cy="452193"/>
    <xdr:pic>
      <xdr:nvPicPr>
        <xdr:cNvPr id="15" name="Picture 14">
          <a:extLst>
            <a:ext uri="{FF2B5EF4-FFF2-40B4-BE49-F238E27FC236}">
              <a16:creationId xmlns:a16="http://schemas.microsoft.com/office/drawing/2014/main" id="{6D2E67ED-254F-48A5-93E8-DC6A7F81C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168192" y="13973424"/>
          <a:ext cx="848085" cy="452193"/>
        </a:xfrm>
        <a:prstGeom prst="rect">
          <a:avLst/>
        </a:prstGeom>
      </xdr:spPr>
    </xdr:pic>
    <xdr:clientData/>
  </xdr:oneCellAnchor>
  <xdr:oneCellAnchor>
    <xdr:from>
      <xdr:col>21</xdr:col>
      <xdr:colOff>16565</xdr:colOff>
      <xdr:row>83</xdr:row>
      <xdr:rowOff>1</xdr:rowOff>
    </xdr:from>
    <xdr:ext cx="1127879" cy="446219"/>
    <xdr:pic>
      <xdr:nvPicPr>
        <xdr:cNvPr id="16" name="Picture 15">
          <a:extLst>
            <a:ext uri="{FF2B5EF4-FFF2-40B4-BE49-F238E27FC236}">
              <a16:creationId xmlns:a16="http://schemas.microsoft.com/office/drawing/2014/main" id="{4818483D-A542-4F57-BD6C-0CCBAF2835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8750" r="18644" b="69520"/>
        <a:stretch/>
      </xdr:blipFill>
      <xdr:spPr>
        <a:xfrm>
          <a:off x="12818165" y="15179041"/>
          <a:ext cx="1127879" cy="446219"/>
        </a:xfrm>
        <a:prstGeom prst="rect">
          <a:avLst/>
        </a:prstGeom>
      </xdr:spPr>
    </xdr:pic>
    <xdr:clientData/>
  </xdr:oneCellAnchor>
  <xdr:oneCellAnchor>
    <xdr:from>
      <xdr:col>21</xdr:col>
      <xdr:colOff>24847</xdr:colOff>
      <xdr:row>88</xdr:row>
      <xdr:rowOff>140805</xdr:rowOff>
    </xdr:from>
    <xdr:ext cx="1537737" cy="460889"/>
    <xdr:pic>
      <xdr:nvPicPr>
        <xdr:cNvPr id="17" name="Picture 16">
          <a:extLst>
            <a:ext uri="{FF2B5EF4-FFF2-40B4-BE49-F238E27FC236}">
              <a16:creationId xmlns:a16="http://schemas.microsoft.com/office/drawing/2014/main" id="{A98A085B-0087-46A8-ACF1-228D67311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9534" t="34891" r="9111" b="35430"/>
        <a:stretch/>
      </xdr:blipFill>
      <xdr:spPr>
        <a:xfrm>
          <a:off x="12826447" y="16234245"/>
          <a:ext cx="1537737" cy="460889"/>
        </a:xfrm>
        <a:prstGeom prst="rect">
          <a:avLst/>
        </a:prstGeom>
      </xdr:spPr>
    </xdr:pic>
    <xdr:clientData/>
  </xdr:oneCellAnchor>
  <xdr:oneCellAnchor>
    <xdr:from>
      <xdr:col>21</xdr:col>
      <xdr:colOff>16565</xdr:colOff>
      <xdr:row>93</xdr:row>
      <xdr:rowOff>149089</xdr:rowOff>
    </xdr:from>
    <xdr:ext cx="1575920" cy="443947"/>
    <xdr:pic>
      <xdr:nvPicPr>
        <xdr:cNvPr id="18" name="Picture 17">
          <a:extLst>
            <a:ext uri="{FF2B5EF4-FFF2-40B4-BE49-F238E27FC236}">
              <a16:creationId xmlns:a16="http://schemas.microsoft.com/office/drawing/2014/main" id="{16542EEC-933C-453F-B46A-95BF37B65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13" t="71785" r="8215" b="965"/>
        <a:stretch/>
      </xdr:blipFill>
      <xdr:spPr>
        <a:xfrm>
          <a:off x="12818165" y="17156929"/>
          <a:ext cx="1575920" cy="443947"/>
        </a:xfrm>
        <a:prstGeom prst="rect">
          <a:avLst/>
        </a:prstGeom>
      </xdr:spPr>
    </xdr:pic>
    <xdr:clientData/>
  </xdr:oneCellAnchor>
  <xdr:oneCellAnchor>
    <xdr:from>
      <xdr:col>20</xdr:col>
      <xdr:colOff>132522</xdr:colOff>
      <xdr:row>101</xdr:row>
      <xdr:rowOff>0</xdr:rowOff>
    </xdr:from>
    <xdr:ext cx="1194258" cy="520634"/>
    <xdr:pic>
      <xdr:nvPicPr>
        <xdr:cNvPr id="19" name="Picture 18">
          <a:extLst>
            <a:ext uri="{FF2B5EF4-FFF2-40B4-BE49-F238E27FC236}">
              <a16:creationId xmlns:a16="http://schemas.microsoft.com/office/drawing/2014/main" id="{DF838960-10FC-4257-87FF-2736A62B2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24522" y="18470880"/>
          <a:ext cx="1194258" cy="520634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101</xdr:row>
      <xdr:rowOff>33130</xdr:rowOff>
    </xdr:from>
    <xdr:ext cx="453994" cy="382359"/>
    <xdr:pic>
      <xdr:nvPicPr>
        <xdr:cNvPr id="20" name="Picture 19">
          <a:extLst>
            <a:ext uri="{FF2B5EF4-FFF2-40B4-BE49-F238E27FC236}">
              <a16:creationId xmlns:a16="http://schemas.microsoft.com/office/drawing/2014/main" id="{AFBC794C-39D3-4B50-92C7-F310A8BB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0" y="18504010"/>
          <a:ext cx="453994" cy="382359"/>
        </a:xfrm>
        <a:prstGeom prst="rect">
          <a:avLst/>
        </a:prstGeom>
      </xdr:spPr>
    </xdr:pic>
    <xdr:clientData/>
  </xdr:oneCellAnchor>
  <xdr:oneCellAnchor>
    <xdr:from>
      <xdr:col>23</xdr:col>
      <xdr:colOff>190501</xdr:colOff>
      <xdr:row>101</xdr:row>
      <xdr:rowOff>16565</xdr:rowOff>
    </xdr:from>
    <xdr:ext cx="269718" cy="390042"/>
    <xdr:pic>
      <xdr:nvPicPr>
        <xdr:cNvPr id="21" name="Picture 20">
          <a:extLst>
            <a:ext uri="{FF2B5EF4-FFF2-40B4-BE49-F238E27FC236}">
              <a16:creationId xmlns:a16="http://schemas.microsoft.com/office/drawing/2014/main" id="{7F15E449-7557-44E7-96CD-D49EE48F3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6389" b="-3622"/>
        <a:stretch/>
      </xdr:blipFill>
      <xdr:spPr>
        <a:xfrm>
          <a:off x="14211301" y="18487445"/>
          <a:ext cx="269718" cy="390042"/>
        </a:xfrm>
        <a:prstGeom prst="rect">
          <a:avLst/>
        </a:prstGeom>
      </xdr:spPr>
    </xdr:pic>
    <xdr:clientData/>
  </xdr:oneCellAnchor>
  <xdr:oneCellAnchor>
    <xdr:from>
      <xdr:col>20</xdr:col>
      <xdr:colOff>111512</xdr:colOff>
      <xdr:row>113</xdr:row>
      <xdr:rowOff>55756</xdr:rowOff>
    </xdr:from>
    <xdr:ext cx="1214285" cy="390038"/>
    <xdr:pic>
      <xdr:nvPicPr>
        <xdr:cNvPr id="23" name="Picture 22">
          <a:extLst>
            <a:ext uri="{FF2B5EF4-FFF2-40B4-BE49-F238E27FC236}">
              <a16:creationId xmlns:a16="http://schemas.microsoft.com/office/drawing/2014/main" id="{9C6B48DC-F0D2-4739-9430-3E11081846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35252" t="1873" r="31667" b="84746"/>
        <a:stretch/>
      </xdr:blipFill>
      <xdr:spPr>
        <a:xfrm>
          <a:off x="12303512" y="20721196"/>
          <a:ext cx="1214285" cy="390038"/>
        </a:xfrm>
        <a:prstGeom prst="rect">
          <a:avLst/>
        </a:prstGeom>
      </xdr:spPr>
    </xdr:pic>
    <xdr:clientData/>
  </xdr:oneCellAnchor>
  <xdr:oneCellAnchor>
    <xdr:from>
      <xdr:col>22</xdr:col>
      <xdr:colOff>611717</xdr:colOff>
      <xdr:row>181</xdr:row>
      <xdr:rowOff>184150</xdr:rowOff>
    </xdr:from>
    <xdr:ext cx="1021223" cy="858183"/>
    <xdr:pic>
      <xdr:nvPicPr>
        <xdr:cNvPr id="24" name="Picture 8">
          <a:extLst>
            <a:ext uri="{FF2B5EF4-FFF2-40B4-BE49-F238E27FC236}">
              <a16:creationId xmlns:a16="http://schemas.microsoft.com/office/drawing/2014/main" id="{564E4460-3BF5-4367-AE27-53647D5A5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2917" y="33285430"/>
          <a:ext cx="1021223" cy="858183"/>
        </a:xfrm>
        <a:prstGeom prst="rect">
          <a:avLst/>
        </a:prstGeom>
      </xdr:spPr>
    </xdr:pic>
    <xdr:clientData/>
  </xdr:oneCellAnchor>
  <xdr:oneCellAnchor>
    <xdr:from>
      <xdr:col>43</xdr:col>
      <xdr:colOff>0</xdr:colOff>
      <xdr:row>182</xdr:row>
      <xdr:rowOff>0</xdr:rowOff>
    </xdr:from>
    <xdr:ext cx="1024466" cy="828919"/>
    <xdr:pic>
      <xdr:nvPicPr>
        <xdr:cNvPr id="25" name="Picture 29">
          <a:extLst>
            <a:ext uri="{FF2B5EF4-FFF2-40B4-BE49-F238E27FC236}">
              <a16:creationId xmlns:a16="http://schemas.microsoft.com/office/drawing/2014/main" id="{3B7FB95F-37A9-4154-BAB1-7EE071EDB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212800" y="33284160"/>
          <a:ext cx="1024466" cy="828919"/>
        </a:xfrm>
        <a:prstGeom prst="rect">
          <a:avLst/>
        </a:prstGeom>
      </xdr:spPr>
    </xdr:pic>
    <xdr:clientData/>
  </xdr:oneCellAnchor>
  <xdr:oneCellAnchor>
    <xdr:from>
      <xdr:col>33</xdr:col>
      <xdr:colOff>0</xdr:colOff>
      <xdr:row>182</xdr:row>
      <xdr:rowOff>0</xdr:rowOff>
    </xdr:from>
    <xdr:ext cx="1022844" cy="856520"/>
    <xdr:pic>
      <xdr:nvPicPr>
        <xdr:cNvPr id="26" name="Picture 25">
          <a:extLst>
            <a:ext uri="{FF2B5EF4-FFF2-40B4-BE49-F238E27FC236}">
              <a16:creationId xmlns:a16="http://schemas.microsoft.com/office/drawing/2014/main" id="{1C710D75-D3E3-42B9-AB25-F7798DDE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116800" y="33284160"/>
          <a:ext cx="1022844" cy="856520"/>
        </a:xfrm>
        <a:prstGeom prst="rect">
          <a:avLst/>
        </a:prstGeom>
      </xdr:spPr>
    </xdr:pic>
    <xdr:clientData/>
  </xdr:oneCellAnchor>
  <xdr:oneCellAnchor>
    <xdr:from>
      <xdr:col>22</xdr:col>
      <xdr:colOff>8467</xdr:colOff>
      <xdr:row>212</xdr:row>
      <xdr:rowOff>101600</xdr:rowOff>
    </xdr:from>
    <xdr:ext cx="1470170" cy="305943"/>
    <xdr:pic>
      <xdr:nvPicPr>
        <xdr:cNvPr id="27" name="Picture 26">
          <a:extLst>
            <a:ext uri="{FF2B5EF4-FFF2-40B4-BE49-F238E27FC236}">
              <a16:creationId xmlns:a16="http://schemas.microsoft.com/office/drawing/2014/main" id="{C98F05CF-D89B-498D-A069-83E83994D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419667" y="38872160"/>
          <a:ext cx="1470170" cy="305943"/>
        </a:xfrm>
        <a:prstGeom prst="rect">
          <a:avLst/>
        </a:prstGeom>
      </xdr:spPr>
    </xdr:pic>
    <xdr:clientData/>
  </xdr:oneCellAnchor>
  <xdr:oneCellAnchor>
    <xdr:from>
      <xdr:col>26</xdr:col>
      <xdr:colOff>586740</xdr:colOff>
      <xdr:row>225</xdr:row>
      <xdr:rowOff>137160</xdr:rowOff>
    </xdr:from>
    <xdr:ext cx="3476722" cy="913183"/>
    <xdr:pic>
      <xdr:nvPicPr>
        <xdr:cNvPr id="28" name="Picture 27" descr="Trick to calculate determinant of a 3x3 matrix - GeeksforGeeks">
          <a:extLst>
            <a:ext uri="{FF2B5EF4-FFF2-40B4-BE49-F238E27FC236}">
              <a16:creationId xmlns:a16="http://schemas.microsoft.com/office/drawing/2014/main" id="{16800792-B073-4997-BF94-B1EE26B3EC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1" t="-1" b="-2164"/>
        <a:stretch/>
      </xdr:blipFill>
      <xdr:spPr bwMode="auto">
        <a:xfrm>
          <a:off x="16436340" y="41285160"/>
          <a:ext cx="3476722" cy="913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34636</xdr:colOff>
      <xdr:row>255</xdr:row>
      <xdr:rowOff>95249</xdr:rowOff>
    </xdr:from>
    <xdr:ext cx="1451121" cy="281180"/>
    <xdr:pic>
      <xdr:nvPicPr>
        <xdr:cNvPr id="29" name="Picture 28">
          <a:extLst>
            <a:ext uri="{FF2B5EF4-FFF2-40B4-BE49-F238E27FC236}">
              <a16:creationId xmlns:a16="http://schemas.microsoft.com/office/drawing/2014/main" id="{008BA97E-FB18-4334-9A46-A1066FBF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26636" y="46729649"/>
          <a:ext cx="1451121" cy="281180"/>
        </a:xfrm>
        <a:prstGeom prst="rect">
          <a:avLst/>
        </a:prstGeom>
      </xdr:spPr>
    </xdr:pic>
    <xdr:clientData/>
  </xdr:oneCellAnchor>
  <xdr:oneCellAnchor>
    <xdr:from>
      <xdr:col>3</xdr:col>
      <xdr:colOff>8467</xdr:colOff>
      <xdr:row>79</xdr:row>
      <xdr:rowOff>101600</xdr:rowOff>
    </xdr:from>
    <xdr:ext cx="1449341" cy="279588"/>
    <xdr:pic>
      <xdr:nvPicPr>
        <xdr:cNvPr id="34" name="Picture 33">
          <a:extLst>
            <a:ext uri="{FF2B5EF4-FFF2-40B4-BE49-F238E27FC236}">
              <a16:creationId xmlns:a16="http://schemas.microsoft.com/office/drawing/2014/main" id="{89EB0AE4-456D-48DD-8396-495EE307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37267" y="14549120"/>
          <a:ext cx="1449341" cy="279588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111</xdr:row>
      <xdr:rowOff>43296</xdr:rowOff>
    </xdr:from>
    <xdr:ext cx="1460645" cy="291813"/>
    <xdr:pic>
      <xdr:nvPicPr>
        <xdr:cNvPr id="35" name="Picture 34">
          <a:extLst>
            <a:ext uri="{FF2B5EF4-FFF2-40B4-BE49-F238E27FC236}">
              <a16:creationId xmlns:a16="http://schemas.microsoft.com/office/drawing/2014/main" id="{CE45DFF5-4121-4FD8-AAC7-608A31AFC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4850" y="20342976"/>
          <a:ext cx="1460645" cy="291813"/>
        </a:xfrm>
        <a:prstGeom prst="rect">
          <a:avLst/>
        </a:prstGeom>
      </xdr:spPr>
    </xdr:pic>
    <xdr:clientData/>
  </xdr:oneCellAnchor>
  <xdr:oneCellAnchor>
    <xdr:from>
      <xdr:col>22</xdr:col>
      <xdr:colOff>443958</xdr:colOff>
      <xdr:row>6</xdr:row>
      <xdr:rowOff>0</xdr:rowOff>
    </xdr:from>
    <xdr:ext cx="1319876" cy="197081"/>
    <xdr:pic>
      <xdr:nvPicPr>
        <xdr:cNvPr id="36" name="Picture 35">
          <a:extLst>
            <a:ext uri="{FF2B5EF4-FFF2-40B4-BE49-F238E27FC236}">
              <a16:creationId xmlns:a16="http://schemas.microsoft.com/office/drawing/2014/main" id="{9DB3F166-7366-4074-9C48-691161BD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855158" y="1097280"/>
          <a:ext cx="1319876" cy="1970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FB48-7947-48C2-B02F-3D98F3C9DCC4}">
  <sheetPr codeName="Sheet3"/>
  <dimension ref="A1:A37"/>
  <sheetViews>
    <sheetView workbookViewId="0">
      <selection activeCell="F38" sqref="F38"/>
    </sheetView>
  </sheetViews>
  <sheetFormatPr defaultRowHeight="14.4" x14ac:dyDescent="0.3"/>
  <cols>
    <col min="1" max="1" width="42.77734375" customWidth="1"/>
  </cols>
  <sheetData>
    <row r="1" spans="1:1" ht="16.2" x14ac:dyDescent="0.35">
      <c r="A1" s="6" t="s">
        <v>35</v>
      </c>
    </row>
    <row r="2" spans="1:1" x14ac:dyDescent="0.3">
      <c r="A2" t="s">
        <v>36</v>
      </c>
    </row>
    <row r="3" spans="1:1" x14ac:dyDescent="0.3">
      <c r="A3" t="s">
        <v>37</v>
      </c>
    </row>
    <row r="5" spans="1:1" ht="16.2" x14ac:dyDescent="0.35">
      <c r="A5" s="6" t="s">
        <v>38</v>
      </c>
    </row>
    <row r="6" spans="1:1" x14ac:dyDescent="0.3">
      <c r="A6" t="s">
        <v>40</v>
      </c>
    </row>
    <row r="8" spans="1:1" x14ac:dyDescent="0.3">
      <c r="A8" t="s">
        <v>41</v>
      </c>
    </row>
    <row r="9" spans="1:1" x14ac:dyDescent="0.3">
      <c r="A9" t="s">
        <v>42</v>
      </c>
    </row>
    <row r="10" spans="1:1" x14ac:dyDescent="0.3">
      <c r="A10" t="s">
        <v>43</v>
      </c>
    </row>
    <row r="12" spans="1:1" ht="16.2" x14ac:dyDescent="0.35">
      <c r="A12" s="6" t="s">
        <v>39</v>
      </c>
    </row>
    <row r="13" spans="1:1" x14ac:dyDescent="0.3">
      <c r="A13" t="s">
        <v>205</v>
      </c>
    </row>
    <row r="14" spans="1:1" x14ac:dyDescent="0.3">
      <c r="A14" s="7" t="s">
        <v>206</v>
      </c>
    </row>
    <row r="15" spans="1:1" x14ac:dyDescent="0.3">
      <c r="A15" s="7" t="s">
        <v>208</v>
      </c>
    </row>
    <row r="16" spans="1:1" x14ac:dyDescent="0.3">
      <c r="A16" s="7" t="s">
        <v>207</v>
      </c>
    </row>
    <row r="17" spans="1:1" x14ac:dyDescent="0.3">
      <c r="A17" s="7" t="s">
        <v>209</v>
      </c>
    </row>
    <row r="22" spans="1:1" ht="16.2" x14ac:dyDescent="0.35">
      <c r="A22" s="6" t="s">
        <v>44</v>
      </c>
    </row>
    <row r="23" spans="1:1" x14ac:dyDescent="0.3">
      <c r="A23" t="s">
        <v>45</v>
      </c>
    </row>
    <row r="24" spans="1:1" x14ac:dyDescent="0.3">
      <c r="A24" t="s">
        <v>55</v>
      </c>
    </row>
    <row r="25" spans="1:1" x14ac:dyDescent="0.3">
      <c r="A25" t="s">
        <v>46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54</v>
      </c>
    </row>
    <row r="29" spans="1:1" x14ac:dyDescent="0.3">
      <c r="A29" t="s">
        <v>49</v>
      </c>
    </row>
    <row r="30" spans="1:1" x14ac:dyDescent="0.3">
      <c r="A30" t="s">
        <v>53</v>
      </c>
    </row>
    <row r="31" spans="1:1" x14ac:dyDescent="0.3">
      <c r="A31" t="s">
        <v>52</v>
      </c>
    </row>
    <row r="32" spans="1:1" x14ac:dyDescent="0.3">
      <c r="A32" t="s">
        <v>50</v>
      </c>
    </row>
    <row r="34" spans="1:1" ht="16.2" x14ac:dyDescent="0.35">
      <c r="A34" s="6" t="s">
        <v>51</v>
      </c>
    </row>
    <row r="37" spans="1:1" ht="16.2" x14ac:dyDescent="0.35">
      <c r="A37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D92-9571-430C-A679-749510EB5008}">
  <sheetPr codeName="Sheet4"/>
  <dimension ref="A1:N41"/>
  <sheetViews>
    <sheetView topLeftCell="A18" workbookViewId="0">
      <selection activeCell="K42" sqref="K42"/>
    </sheetView>
  </sheetViews>
  <sheetFormatPr defaultRowHeight="14.4" x14ac:dyDescent="0.3"/>
  <cols>
    <col min="1" max="1" width="26.44140625" customWidth="1"/>
    <col min="5" max="5" width="24.44140625" customWidth="1"/>
    <col min="6" max="6" width="23.33203125" customWidth="1"/>
    <col min="11" max="11" width="19.33203125" customWidth="1"/>
  </cols>
  <sheetData>
    <row r="1" spans="1:14" ht="16.2" x14ac:dyDescent="0.35">
      <c r="A1" s="2" t="s">
        <v>0</v>
      </c>
      <c r="F1" s="2" t="s">
        <v>4</v>
      </c>
      <c r="K1" s="2" t="s">
        <v>131</v>
      </c>
      <c r="L1" s="2"/>
    </row>
    <row r="3" spans="1:14" x14ac:dyDescent="0.3">
      <c r="A3" s="3" t="s">
        <v>1</v>
      </c>
      <c r="F3" s="3" t="s">
        <v>5</v>
      </c>
      <c r="K3" s="3" t="s">
        <v>132</v>
      </c>
    </row>
    <row r="4" spans="1:14" x14ac:dyDescent="0.3">
      <c r="A4" s="31">
        <v>3</v>
      </c>
      <c r="B4" s="31">
        <v>2</v>
      </c>
      <c r="F4" s="31">
        <v>2</v>
      </c>
      <c r="G4" s="31">
        <v>4</v>
      </c>
      <c r="H4" s="31">
        <v>7</v>
      </c>
      <c r="K4" s="31">
        <v>3</v>
      </c>
      <c r="L4" s="31">
        <v>2</v>
      </c>
      <c r="M4" s="31">
        <v>1</v>
      </c>
      <c r="N4" s="31">
        <v>4</v>
      </c>
    </row>
    <row r="5" spans="1:14" x14ac:dyDescent="0.3">
      <c r="A5" s="31">
        <v>1</v>
      </c>
      <c r="B5" s="31">
        <v>4</v>
      </c>
      <c r="F5" s="31">
        <v>1</v>
      </c>
      <c r="G5" s="31">
        <v>8</v>
      </c>
      <c r="H5" s="31">
        <v>1</v>
      </c>
      <c r="K5" s="31">
        <v>1</v>
      </c>
      <c r="L5" s="31">
        <v>5</v>
      </c>
      <c r="M5" s="31">
        <v>2</v>
      </c>
      <c r="N5" s="31">
        <v>3</v>
      </c>
    </row>
    <row r="6" spans="1:14" x14ac:dyDescent="0.3">
      <c r="F6" s="31">
        <v>6</v>
      </c>
      <c r="G6" s="31">
        <v>5</v>
      </c>
      <c r="H6" s="31">
        <v>2</v>
      </c>
      <c r="K6" s="31">
        <v>2</v>
      </c>
      <c r="L6" s="31">
        <v>1</v>
      </c>
      <c r="M6" s="31">
        <v>4</v>
      </c>
      <c r="N6" s="31">
        <v>2</v>
      </c>
    </row>
    <row r="7" spans="1:14" x14ac:dyDescent="0.3">
      <c r="A7" t="s">
        <v>23</v>
      </c>
      <c r="K7" s="31">
        <v>4</v>
      </c>
      <c r="L7" s="31">
        <v>3</v>
      </c>
      <c r="M7" s="31">
        <v>2</v>
      </c>
      <c r="N7" s="31">
        <v>1</v>
      </c>
    </row>
    <row r="8" spans="1:14" x14ac:dyDescent="0.3">
      <c r="A8" t="s">
        <v>2</v>
      </c>
      <c r="B8" s="42">
        <f>A4*B5-A5*B4</f>
        <v>10</v>
      </c>
      <c r="F8" s="5" t="s">
        <v>6</v>
      </c>
    </row>
    <row r="9" spans="1:14" x14ac:dyDescent="0.3">
      <c r="F9" t="s">
        <v>2</v>
      </c>
      <c r="G9" s="42">
        <f>MDETERM(F4:H6)</f>
        <v>-262.99999999999994</v>
      </c>
      <c r="K9" s="5" t="s">
        <v>9</v>
      </c>
    </row>
    <row r="10" spans="1:14" x14ac:dyDescent="0.3">
      <c r="A10" t="s">
        <v>24</v>
      </c>
      <c r="K10" t="s">
        <v>133</v>
      </c>
      <c r="L10" s="42">
        <f>MDETERM(K4:N7)</f>
        <v>-197</v>
      </c>
    </row>
    <row r="11" spans="1:14" x14ac:dyDescent="0.3">
      <c r="A11" s="31">
        <v>3</v>
      </c>
      <c r="B11" s="31">
        <v>2</v>
      </c>
      <c r="F11" s="5" t="s">
        <v>7</v>
      </c>
    </row>
    <row r="12" spans="1:14" x14ac:dyDescent="0.3">
      <c r="A12" s="31">
        <v>1</v>
      </c>
      <c r="B12" s="31">
        <v>4</v>
      </c>
      <c r="F12" t="s">
        <v>3</v>
      </c>
      <c r="G12" s="42">
        <f>F4*(G5*H6-G6*H5)-G4*(F5*H6-F6*H5)+H4*(F5*G6-F6*G5)</f>
        <v>-263</v>
      </c>
    </row>
    <row r="13" spans="1:14" x14ac:dyDescent="0.3">
      <c r="A13" t="s">
        <v>3</v>
      </c>
      <c r="B13" s="42">
        <f>A11*B12-A12*B11</f>
        <v>10</v>
      </c>
    </row>
    <row r="14" spans="1:14" x14ac:dyDescent="0.3">
      <c r="F14" s="4" t="s">
        <v>8</v>
      </c>
    </row>
    <row r="15" spans="1:14" x14ac:dyDescent="0.3">
      <c r="F15" s="31">
        <v>2</v>
      </c>
      <c r="G15" s="31">
        <v>1</v>
      </c>
      <c r="H15" s="31">
        <v>3</v>
      </c>
    </row>
    <row r="16" spans="1:14" x14ac:dyDescent="0.3">
      <c r="F16" s="31">
        <v>0</v>
      </c>
      <c r="G16" s="31">
        <v>4</v>
      </c>
      <c r="H16" s="31">
        <v>1</v>
      </c>
    </row>
    <row r="17" spans="1:13" x14ac:dyDescent="0.3">
      <c r="F17" s="31">
        <v>1</v>
      </c>
      <c r="G17" s="31">
        <v>2</v>
      </c>
      <c r="H17" s="31">
        <v>2</v>
      </c>
    </row>
    <row r="18" spans="1:13" x14ac:dyDescent="0.3">
      <c r="F18" s="5" t="s">
        <v>9</v>
      </c>
      <c r="G18">
        <f>MDETERM(F15:H17)</f>
        <v>1</v>
      </c>
    </row>
    <row r="19" spans="1:13" x14ac:dyDescent="0.3">
      <c r="F19" s="5" t="s">
        <v>10</v>
      </c>
      <c r="G19">
        <f>F15*(G16*H17-G17*H16)-G15*(F16*H17-F17*H16)+H15*(F16*G17-F17*G16)</f>
        <v>1</v>
      </c>
    </row>
    <row r="28" spans="1:13" ht="18" x14ac:dyDescent="0.35">
      <c r="A28" s="2" t="s">
        <v>134</v>
      </c>
      <c r="E28" s="5" t="s">
        <v>139</v>
      </c>
      <c r="K28" s="44" t="s">
        <v>349</v>
      </c>
    </row>
    <row r="29" spans="1:13" x14ac:dyDescent="0.3">
      <c r="E29" s="31">
        <f>A39</f>
        <v>-4</v>
      </c>
      <c r="F29" s="31">
        <f>A40</f>
        <v>5</v>
      </c>
      <c r="G29" s="31">
        <f>A41</f>
        <v>-3</v>
      </c>
    </row>
    <row r="30" spans="1:13" x14ac:dyDescent="0.3">
      <c r="A30" s="3" t="s">
        <v>135</v>
      </c>
      <c r="E30" s="31">
        <f>B39</f>
        <v>8</v>
      </c>
      <c r="F30" s="31">
        <f>B40</f>
        <v>-7</v>
      </c>
      <c r="G30" s="31">
        <f>B41</f>
        <v>-3</v>
      </c>
      <c r="L30" s="31">
        <v>1</v>
      </c>
      <c r="M30" s="31">
        <v>3</v>
      </c>
    </row>
    <row r="31" spans="1:13" x14ac:dyDescent="0.3">
      <c r="A31" s="31">
        <v>2</v>
      </c>
      <c r="B31" s="31">
        <v>1</v>
      </c>
      <c r="C31" s="31">
        <v>3</v>
      </c>
      <c r="E31" s="31">
        <f>C39</f>
        <v>-4</v>
      </c>
      <c r="F31" s="31">
        <f>C40</f>
        <v>-1</v>
      </c>
      <c r="G31" s="31">
        <f>C41</f>
        <v>3</v>
      </c>
      <c r="L31" s="31">
        <v>2</v>
      </c>
      <c r="M31" s="31">
        <v>4</v>
      </c>
    </row>
    <row r="32" spans="1:13" x14ac:dyDescent="0.3">
      <c r="A32" s="31">
        <v>1</v>
      </c>
      <c r="B32" s="31">
        <v>2</v>
      </c>
      <c r="C32" s="31">
        <v>3</v>
      </c>
    </row>
    <row r="33" spans="1:13" x14ac:dyDescent="0.3">
      <c r="A33" s="31">
        <v>3</v>
      </c>
      <c r="B33" s="31">
        <v>2</v>
      </c>
      <c r="C33" s="31">
        <v>1</v>
      </c>
      <c r="E33" s="5" t="s">
        <v>140</v>
      </c>
      <c r="K33" s="21" t="s">
        <v>2</v>
      </c>
      <c r="L33">
        <f>MDETERM(L30:M31)</f>
        <v>-2</v>
      </c>
    </row>
    <row r="34" spans="1:13" x14ac:dyDescent="0.3">
      <c r="E34" s="31">
        <f>E29/$B$36</f>
        <v>0.33333333333333331</v>
      </c>
      <c r="F34" s="31">
        <f>F29/$B$36</f>
        <v>-0.41666666666666669</v>
      </c>
      <c r="G34" s="31">
        <f>G29/$B$36</f>
        <v>0.25</v>
      </c>
    </row>
    <row r="35" spans="1:13" x14ac:dyDescent="0.3">
      <c r="A35" s="5" t="s">
        <v>136</v>
      </c>
      <c r="E35" s="31">
        <f>E30/$B$36</f>
        <v>-0.66666666666666663</v>
      </c>
      <c r="F35" s="31">
        <f>F30/$B$36</f>
        <v>0.58333333333333337</v>
      </c>
      <c r="G35" s="31">
        <f>G30/$B$36</f>
        <v>0.25</v>
      </c>
    </row>
    <row r="36" spans="1:13" ht="18" x14ac:dyDescent="0.35">
      <c r="A36" s="41" t="s">
        <v>137</v>
      </c>
      <c r="B36" s="42">
        <f>MDETERM(A31:C33)</f>
        <v>-12</v>
      </c>
      <c r="E36" s="31">
        <f>E31/$B$36</f>
        <v>0.33333333333333331</v>
      </c>
      <c r="F36" s="31">
        <f>F31/$B$36</f>
        <v>8.3333333333333329E-2</v>
      </c>
      <c r="G36" s="31">
        <f>G31/$B$36</f>
        <v>-0.25</v>
      </c>
      <c r="K36" t="s">
        <v>350</v>
      </c>
      <c r="L36" s="45" t="s">
        <v>351</v>
      </c>
      <c r="M36" s="21"/>
    </row>
    <row r="38" spans="1:13" x14ac:dyDescent="0.3">
      <c r="A38" s="5" t="s">
        <v>138</v>
      </c>
    </row>
    <row r="39" spans="1:13" x14ac:dyDescent="0.3">
      <c r="A39" s="31">
        <f>B32*C33-B33*C32</f>
        <v>-4</v>
      </c>
      <c r="B39" s="31">
        <f>-(A32*C33-A33*C32)</f>
        <v>8</v>
      </c>
      <c r="C39" s="31">
        <f>A32*B33-A33*B32</f>
        <v>-4</v>
      </c>
      <c r="L39" s="31">
        <f>1/L33*(L30)</f>
        <v>-0.5</v>
      </c>
      <c r="M39" s="31">
        <f>1/L33*(M30)</f>
        <v>-1.5</v>
      </c>
    </row>
    <row r="40" spans="1:13" x14ac:dyDescent="0.3">
      <c r="A40" s="31">
        <f>-(B31*C33-B33*C31)</f>
        <v>5</v>
      </c>
      <c r="B40" s="31">
        <f>A31*C33-A33*C31</f>
        <v>-7</v>
      </c>
      <c r="C40" s="31">
        <f>-(A31*B33-A33*B31)</f>
        <v>-1</v>
      </c>
      <c r="L40" s="31">
        <f>1/L33*(L31)</f>
        <v>-1</v>
      </c>
      <c r="M40" s="31">
        <f>1/L33*(M31)</f>
        <v>-2</v>
      </c>
    </row>
    <row r="41" spans="1:13" x14ac:dyDescent="0.3">
      <c r="A41" s="31">
        <f>B31*C32-B32*C31</f>
        <v>-3</v>
      </c>
      <c r="B41" s="31">
        <f>-(A31*C32-A32*C31)</f>
        <v>-3</v>
      </c>
      <c r="C41" s="31">
        <f>A31*B32-A32*B31</f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CDD3-FFB8-4C45-BD9B-45E6D66201C2}">
  <dimension ref="B1:G10"/>
  <sheetViews>
    <sheetView workbookViewId="0">
      <selection activeCell="B7" sqref="B7:C8"/>
    </sheetView>
  </sheetViews>
  <sheetFormatPr defaultRowHeight="14.4" x14ac:dyDescent="0.3"/>
  <sheetData>
    <row r="1" spans="2:7" ht="18" x14ac:dyDescent="0.35">
      <c r="B1" s="46" t="s">
        <v>202</v>
      </c>
      <c r="C1" s="46"/>
      <c r="D1" s="46"/>
      <c r="E1" s="46"/>
    </row>
    <row r="2" spans="2:7" x14ac:dyDescent="0.3">
      <c r="F2" t="s">
        <v>201</v>
      </c>
    </row>
    <row r="3" spans="2:7" x14ac:dyDescent="0.3">
      <c r="B3" s="38">
        <v>1</v>
      </c>
      <c r="C3" s="38">
        <v>2</v>
      </c>
      <c r="F3" t="s">
        <v>194</v>
      </c>
      <c r="G3" s="27" t="s">
        <v>200</v>
      </c>
    </row>
    <row r="4" spans="2:7" x14ac:dyDescent="0.3">
      <c r="B4" s="38">
        <v>2</v>
      </c>
      <c r="C4" s="38">
        <v>4</v>
      </c>
      <c r="F4" t="s">
        <v>199</v>
      </c>
      <c r="G4">
        <v>1</v>
      </c>
    </row>
    <row r="5" spans="2:7" x14ac:dyDescent="0.3">
      <c r="F5" t="s">
        <v>198</v>
      </c>
      <c r="G5">
        <v>2</v>
      </c>
    </row>
    <row r="6" spans="2:7" x14ac:dyDescent="0.3">
      <c r="B6" s="21" t="s">
        <v>197</v>
      </c>
      <c r="C6" s="21"/>
      <c r="D6" s="21"/>
      <c r="F6" t="s">
        <v>196</v>
      </c>
      <c r="G6">
        <v>1</v>
      </c>
    </row>
    <row r="7" spans="2:7" x14ac:dyDescent="0.3">
      <c r="B7" s="38">
        <f>IF($G$3="Swap Rows",IF($G$4=1,INDEX($B$3:$C$4,$G$5,1),IF($G$5=1,INDEX($B$3:$C$4,$G$4,1),INDEX($B$3:$C$4,1,1))),IF($G$3="Multiply Row",IF($G$4=1,$G$6*INDEX($B$3:$C$4,1,1),INDEX($B$3:$C$4,1,1)),IF($G$3="Add Multiple",IF($G$4=1,INDEX($B$3:$C$4,1,1) + $G$6*INDEX($B$3:$C$4,$G$5,1),INDEX($B$3:$C$4,1,1)),INDEX($B$3:$C$4,1,1))))</f>
        <v>2</v>
      </c>
      <c r="C7" s="38">
        <f>IF($G$3="Swap Rows",IF($G$4=1,INDEX($B$3:$C$4,$G$5,2),IF($G$5=1,INDEX($B$3:$C$4,$G$4,2),INDEX($B$3:$C$4,1,2))),IF($G$3="Multiply Row",IF($G$4=1,$G$6*INDEX($B$3:$C$4,1,2),INDEX($B$3:$C$4,1,2)),IF($G$3="Add Multiple",IF($G$4=1,INDEX($B$3:$C$4,1,2) + $G$6*INDEX($B$3:$C$4,$G$5,2),INDEX($B$3:$C$4,1,2)),INDEX($B$3:$C$4,1,2))))</f>
        <v>4</v>
      </c>
    </row>
    <row r="8" spans="2:7" x14ac:dyDescent="0.3">
      <c r="B8" s="38">
        <f>IF($G$3="Swap Rows",IF($G$4=2,INDEX($B$3:$C$4,$G$5,1),IF($G$5=2,INDEX($B$3:$C$4,$G$4,1),INDEX($B$3:$C$4,2,1))),IF($G$3="Multiply Row",IF($G$4=2,$G$6*INDEX($B$3:$C$4,2,1),INDEX($B$3:$C$4,2,1)),IF($G$3="Add Multiple",IF($G$4=2,INDEX($B$3:$C$4,2,1) + $G$6*INDEX($B$3:$C$4,$G$5,1),INDEX($B$3:$C$4,2,1)),INDEX($B$3:$C$4,2,1))))</f>
        <v>1</v>
      </c>
      <c r="C8" s="38">
        <f>IF($G$3="Swap Rows",IF($G$4=2,INDEX($B$3:$C$4,$G$5,2),IF($G$5=2,INDEX($B$3:$C$4,$G$4,2),INDEX($B$3:$C$4,2,2))),IF($G$3="Multiply Row",IF($G$4=2,$G$6*INDEX($B$3:$C$4,2,2),INDEX($B$3:$C$4,2,2)),IF($G$3="Add Multiple",IF($G$4=2,INDEX($B$3:$C$4,2,2) + $G$6*INDEX($B$3:$C$4,$G$5,2),INDEX($B$3:$C$4,2,2)),INDEX($B$3:$C$4,2,2))))</f>
        <v>2</v>
      </c>
    </row>
    <row r="10" spans="2:7" x14ac:dyDescent="0.3">
      <c r="B10" t="s">
        <v>195</v>
      </c>
      <c r="C10" t="str">
        <f>IF($G$3="Swap Rows","Swap R" &amp; $G$4 &amp; " &lt;-&gt; R" &amp; $G$5,IF($G$3="Multiply Row","R" &amp; $G$4 &amp; " -&gt; (" &amp; $G$6 &amp; ") * R" &amp; $G$4,IF($G$3="Add Multiple","R" &amp; $G$4 &amp; " -&gt; R" &amp; $G$4 &amp; " + (" &amp; $G$6 &amp; ")*R" &amp; $G$5,"")))</f>
        <v>Swap R1 &lt;-&gt; R2</v>
      </c>
    </row>
  </sheetData>
  <mergeCells count="1">
    <mergeCell ref="B1:E1"/>
  </mergeCells>
  <dataValidations count="1">
    <dataValidation type="list" showInputMessage="1" showErrorMessage="1" sqref="G3" xr:uid="{00000000-0002-0000-0000-000000000000}">
      <formula1>"Swap Rows,Multiply Row,Add Multiple"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8D9E-2502-491F-B382-7756E1B9178B}">
  <dimension ref="A1:H12"/>
  <sheetViews>
    <sheetView workbookViewId="0">
      <selection activeCell="B8" sqref="B8:D10"/>
    </sheetView>
  </sheetViews>
  <sheetFormatPr defaultRowHeight="14.4" x14ac:dyDescent="0.3"/>
  <sheetData>
    <row r="1" spans="1:8" ht="18" x14ac:dyDescent="0.35">
      <c r="A1" s="46" t="s">
        <v>203</v>
      </c>
      <c r="B1" s="47"/>
      <c r="C1" s="47"/>
      <c r="D1" s="47"/>
    </row>
    <row r="2" spans="1:8" x14ac:dyDescent="0.3">
      <c r="B2" t="s">
        <v>25</v>
      </c>
      <c r="G2" t="s">
        <v>201</v>
      </c>
    </row>
    <row r="3" spans="1:8" x14ac:dyDescent="0.3">
      <c r="B3" s="38">
        <v>1</v>
      </c>
      <c r="C3" s="38">
        <v>2</v>
      </c>
      <c r="D3" s="38">
        <v>3</v>
      </c>
      <c r="G3" t="s">
        <v>194</v>
      </c>
      <c r="H3" s="27" t="s">
        <v>200</v>
      </c>
    </row>
    <row r="4" spans="1:8" x14ac:dyDescent="0.3">
      <c r="B4" s="38">
        <v>2</v>
      </c>
      <c r="C4" s="38">
        <v>4</v>
      </c>
      <c r="D4" s="38">
        <v>6</v>
      </c>
      <c r="G4" t="s">
        <v>199</v>
      </c>
      <c r="H4">
        <v>1</v>
      </c>
    </row>
    <row r="5" spans="1:8" x14ac:dyDescent="0.3">
      <c r="B5" s="38">
        <v>3</v>
      </c>
      <c r="C5" s="38">
        <v>6</v>
      </c>
      <c r="D5" s="38">
        <v>9</v>
      </c>
      <c r="G5" t="s">
        <v>198</v>
      </c>
      <c r="H5">
        <v>2</v>
      </c>
    </row>
    <row r="6" spans="1:8" x14ac:dyDescent="0.3">
      <c r="G6" t="s">
        <v>196</v>
      </c>
      <c r="H6">
        <v>1</v>
      </c>
    </row>
    <row r="7" spans="1:8" x14ac:dyDescent="0.3">
      <c r="B7" s="21" t="s">
        <v>197</v>
      </c>
      <c r="C7" s="21"/>
      <c r="D7" s="21"/>
    </row>
    <row r="8" spans="1:8" x14ac:dyDescent="0.3">
      <c r="B8" s="38">
        <f>IF($H$3="Swap Rows",IF($H$4=1,INDEX($B$3:$D$5,$H$5,1),IF($H$5=1,INDEX($B$3:$D$5,$H$4,1),INDEX($B$3:$D$5,1,1))),IF($H$3="Multiply Row",IF($H$4=1,$H$6*INDEX($B$3:$D$5,1,1),INDEX($B$3:$D$5,1,1)),IF($H$3="Add Multiple",IF($H$4=1,INDEX($B$3:$D$5,1,1) + $H$6*INDEX($B$3:$D$5,$H$5,1),INDEX($B$3:$D$5,1,1)),INDEX($B$3:$D$5,1,1))))</f>
        <v>2</v>
      </c>
      <c r="C8" s="38">
        <f>IF($H$3="Swap Rows",IF($H$4=1,INDEX($B$3:$D$5,$H$5,2),IF($H$5=1,INDEX($B$3:$D$5,$H$4,2),INDEX($B$3:$D$5,1,2))),IF($H$3="Multiply Row",IF($H$4=1,$H$6*INDEX($B$3:$D$5,1,2),INDEX($B$3:$D$5,1,2)),IF($H$3="Add Multiple",IF($H$4=1,INDEX($B$3:$D$5,1,2) + $H$6*INDEX($B$3:$D$5,$H$5,2),INDEX($B$3:$D$5,1,2)),INDEX($B$3:$D$5,1,2))))</f>
        <v>4</v>
      </c>
      <c r="D8" s="38">
        <f>IF($H$3="Swap Rows",IF($H$4=1,INDEX($B$3:$D$5,$H$5,3),IF($H$5=1,INDEX($B$3:$D$5,$H$4,3),INDEX($B$3:$D$5,1,3))),IF($H$3="Multiply Row",IF($H$4=1,$H$6*INDEX($B$3:$D$5,1,3),INDEX($B$3:$D$5,1,3)),IF($H$3="Add Multiple",IF($H$4=1,INDEX($B$3:$D$5,1,3) + $H$6*INDEX($B$3:$D$5,$H$5,3),INDEX($B$3:$D$5,1,3)),INDEX($B$3:$D$5,1,3))))</f>
        <v>6</v>
      </c>
    </row>
    <row r="9" spans="1:8" x14ac:dyDescent="0.3">
      <c r="B9" s="38">
        <f>IF($H$3="Swap Rows",IF($H$4=2,INDEX($B$3:$D$5,$H$5,1),IF($H$5=2,INDEX($B$3:$D$5,$H$4,1),INDEX($B$3:$D$5,2,1))),IF($H$3="Multiply Row",IF($H$4=2,$H$6*INDEX($B$3:$D$5,2,1),INDEX($B$3:$D$5,2,1)),IF($H$3="Add Multiple",IF($H$4=2,INDEX($B$3:$D$5,2,1) + $H$6*INDEX($B$3:$D$5,$H$5,1),INDEX($B$3:$D$5,2,1)),INDEX($B$3:$D$5,2,1))))</f>
        <v>1</v>
      </c>
      <c r="C9" s="38">
        <f>IF($H$3="Swap Rows",IF($H$4=2,INDEX($B$3:$D$5,$H$5,2),IF($H$5=2,INDEX($B$3:$D$5,$H$4,2),INDEX($B$3:$D$5,2,2))),IF($H$3="Multiply Row",IF($H$4=2,$H$6*INDEX($B$3:$D$5,2,2),INDEX($B$3:$D$5,2,2)),IF($H$3="Add Multiple",IF($H$4=2,INDEX($B$3:$D$5,2,2) + $H$6*INDEX($B$3:$D$5,$H$5,2),INDEX($B$3:$D$5,2,2)),INDEX($B$3:$D$5,2,2))))</f>
        <v>2</v>
      </c>
      <c r="D9" s="38" cm="1">
        <f t="array" ref="D9">IF($H$3="Swap Rows",IF($H$4=2,INDEX($B$3:$D$5,$H$5,3),IF($H$5=2,INDEX($B$3:$D$5,$H$4,3),INDEX($B$3:$D$5,2,3))),IF($H$3="Multiply Row",IF($H$4=2,$H$6*INDEX($B$3:$D$5,2,3),INDEX($B$3:$D$5,2,3)),IF($H$3="Add Multiple",IF($H$4=2,INDEX($B$3:$D$5,2,3) + $H$6*_xlfn.SINGLE(INDEX($B$3:$D$5,$H$5,3)),INDEX($B$3:$D$5,2,3)),INDEX($B$3:$D$5,2,3))))</f>
        <v>3</v>
      </c>
    </row>
    <row r="10" spans="1:8" x14ac:dyDescent="0.3">
      <c r="B10" s="38">
        <f>IF($H$3="Swap Rows",IF($H$4=3,INDEX($B$3:$D$5,$H$5,1),IF($H$5=3,INDEX($B$3:$D$5,$H$4,1),INDEX($B$3:$D$5,3,1))),IF($H$3="Multiply Row",IF($H$4=3,$H$6*INDEX($B$3:$D$5,3,1),INDEX($B$3:$D$5,3,1)),IF($H$3="Add Multiple",IF($H$4=3,INDEX($B$3:$D$5,3,1) + $H$6*INDEX($B$3:$D$5,$H$5,1),INDEX($B$3:$D$5,3,1)),INDEX($B$3:$D$5,3,1))))</f>
        <v>3</v>
      </c>
      <c r="C10" s="38">
        <f>IF($H$3="Swap Rows",IF($H$4=3,INDEX($B$3:$D$5,$H$5,2),IF($H$5=3,INDEX($B$3:$D$5,$H$4,2),INDEX($B$3:$D$5,3,2))),IF($H$3="Multiply Row",IF($H$4=3,$H$6*INDEX($B$3:$D$5,3,2),INDEX($B$3:$D$5,3,2)),IF($H$3="Add Multiple",IF($H$4=3,INDEX($B$3:$D$5,3,2) + $H$6*INDEX($B$3:$D$5,$H$5,2),INDEX($B$3:$D$5,3,2)),INDEX($B$3:$D$5,3,2))))</f>
        <v>6</v>
      </c>
      <c r="D10" s="38">
        <f>IF($H$3="Swap Rows",IF($H$4=3,INDEX($B$3:$D$5,$H$5,3),IF($H$5=3,INDEX($B$3:$D$5,$H$4,3),INDEX($B$3:$D$5,3,3))),IF($H$3="Multiply Row",IF($H$4=3,$H$6*INDEX($B$3:$D$5,3,3),INDEX($B$3:$D$5,3,3)),IF($H$3="Add Multiple",IF($H$4=3,INDEX($B$3:$D$5,3,3) + $H$6*INDEX($B$3:$D$5,$H$5,3),INDEX($B$3:$D$5,3,3)),INDEX($B$3:$D$5,3,3))))</f>
        <v>9</v>
      </c>
    </row>
    <row r="12" spans="1:8" x14ac:dyDescent="0.3">
      <c r="B12" t="s">
        <v>195</v>
      </c>
      <c r="C12" t="str">
        <f>IF($H$3="Swap Rows","Swap R" &amp; $H$4 &amp; " &lt;-&gt; R" &amp; $H$5,IF($H$3="Multiply Row","R" &amp; $H$4 &amp; " -&gt; (" &amp; $H$6 &amp; ") * R" &amp; $H$4,IF($H$3="Add Multiple","R" &amp; $H$4 &amp; " -&gt; R" &amp; $H$4 &amp; " + (" &amp; $H$6 &amp; ")*R" &amp; $H$5,"")))</f>
        <v>Swap R1 &lt;-&gt; R2</v>
      </c>
    </row>
  </sheetData>
  <mergeCells count="1">
    <mergeCell ref="A1:D1"/>
  </mergeCells>
  <dataValidations count="1">
    <dataValidation type="list" showInputMessage="1" showErrorMessage="1" sqref="H3" xr:uid="{00000000-0002-0000-0100-000000000000}">
      <formula1>"Swap Rows,Multiply Row,Add Multiple"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AD57-ECDD-43AA-B615-83DAA09900FA}">
  <dimension ref="A1:I14"/>
  <sheetViews>
    <sheetView workbookViewId="0">
      <selection activeCell="B9" sqref="B9:E12"/>
    </sheetView>
  </sheetViews>
  <sheetFormatPr defaultRowHeight="14.4" x14ac:dyDescent="0.3"/>
  <sheetData>
    <row r="1" spans="1:9" ht="18" x14ac:dyDescent="0.35">
      <c r="A1" s="46" t="s">
        <v>204</v>
      </c>
      <c r="B1" s="46"/>
      <c r="C1" s="46"/>
      <c r="D1" s="46"/>
      <c r="E1" s="46"/>
      <c r="F1" s="46"/>
    </row>
    <row r="2" spans="1:9" x14ac:dyDescent="0.3">
      <c r="B2" t="s">
        <v>25</v>
      </c>
      <c r="H2" t="s">
        <v>201</v>
      </c>
    </row>
    <row r="3" spans="1:9" x14ac:dyDescent="0.3">
      <c r="B3" s="38">
        <v>2</v>
      </c>
      <c r="C3" s="38">
        <v>2</v>
      </c>
      <c r="D3" s="38">
        <v>3</v>
      </c>
      <c r="E3" s="38">
        <v>4</v>
      </c>
      <c r="H3" t="s">
        <v>194</v>
      </c>
      <c r="I3" s="27" t="s">
        <v>200</v>
      </c>
    </row>
    <row r="4" spans="1:9" x14ac:dyDescent="0.3">
      <c r="B4" s="38">
        <v>2</v>
      </c>
      <c r="C4" s="38">
        <v>4</v>
      </c>
      <c r="D4" s="38">
        <v>6</v>
      </c>
      <c r="E4" s="38">
        <v>8</v>
      </c>
      <c r="H4" t="s">
        <v>199</v>
      </c>
      <c r="I4">
        <v>2</v>
      </c>
    </row>
    <row r="5" spans="1:9" x14ac:dyDescent="0.3">
      <c r="B5" s="38">
        <v>3</v>
      </c>
      <c r="C5" s="38">
        <v>6</v>
      </c>
      <c r="D5" s="38">
        <v>9</v>
      </c>
      <c r="E5" s="38">
        <v>12</v>
      </c>
      <c r="H5" t="s">
        <v>198</v>
      </c>
      <c r="I5">
        <v>1</v>
      </c>
    </row>
    <row r="6" spans="1:9" x14ac:dyDescent="0.3">
      <c r="B6" s="38">
        <v>4</v>
      </c>
      <c r="C6" s="38">
        <v>8</v>
      </c>
      <c r="D6" s="38">
        <v>12</v>
      </c>
      <c r="E6" s="38">
        <v>16</v>
      </c>
      <c r="H6" t="s">
        <v>196</v>
      </c>
      <c r="I6">
        <v>1</v>
      </c>
    </row>
    <row r="8" spans="1:9" x14ac:dyDescent="0.3">
      <c r="B8" s="21" t="s">
        <v>197</v>
      </c>
      <c r="C8" s="21"/>
      <c r="D8" s="21"/>
    </row>
    <row r="9" spans="1:9" x14ac:dyDescent="0.3">
      <c r="B9" s="38">
        <f>IF($I$3="Swap Rows",IF($I$4=1,INDEX($B$3:$E$6,$I$5,1),IF($I$5=1,INDEX($B$3:$E$6,$I$4,1),INDEX($B$3:$E$6,1,1))),IF($I$3="Multiply Row",IF($I$4=1,$I$6*INDEX($B$3:$E$6,1,1),INDEX($B$3:$E$6,1,1)),IF($I$3="Add Multiple",IF($I$4=1,INDEX($B$3:$E$6,1,1) + $I$6*INDEX($B$3:$E$6,$I$5,1),INDEX($B$3:$E$6,1,1)),INDEX($B$3:$E$6,1,1))))</f>
        <v>2</v>
      </c>
      <c r="C9" s="38">
        <f>IF($I$3="Swap Rows",IF($I$4=1,INDEX($B$3:$E$6,$I$5,2),IF($I$5=1,INDEX($B$3:$E$6,$I$4,2),INDEX($B$3:$E$6,1,2))),IF($I$3="Multiply Row",IF($I$4=1,$I$6*INDEX($B$3:$E$6,1,2),INDEX($B$3:$E$6,1,2)),IF($I$3="Add Multiple",IF($I$4=1,INDEX($B$3:$E$6,1,2) + $I$6*INDEX($B$3:$E$6,$I$5,2),INDEX($B$3:$E$6,1,2)),INDEX($B$3:$E$6,1,2))))</f>
        <v>4</v>
      </c>
      <c r="D9" s="38">
        <f>IF($I$3="Swap Rows",IF($I$4=1,INDEX($B$3:$E$6,$I$5,3),IF($I$5=1,INDEX($B$3:$E$6,$I$4,3),INDEX($B$3:$E$6,1,3))),IF($I$3="Multiply Row",IF($I$4=1,$I$6*INDEX($B$3:$E$6,1,3),INDEX($B$3:$E$6,1,3)),IF($I$3="Add Multiple",IF($I$4=1,INDEX($B$3:$E$6,1,3) + $I$6*INDEX($B$3:$E$6,$I$5,3),INDEX($B$3:$E$6,1,3)),INDEX($B$3:$E$6,1,3))))</f>
        <v>6</v>
      </c>
      <c r="E9" s="38">
        <f>IF($I$3="Swap Rows",IF($I$4=1,INDEX($B$3:$E$6,$I$5,4),IF($I$5=1,INDEX($B$3:$E$6,$I$4,4),INDEX($B$3:$E$6,1,4))),IF($I$3="Multiply Row",IF($I$4=1,$I$6*INDEX($B$3:$E$6,1,4),INDEX($B$3:$E$6,1,4)),IF($I$3="Add Multiple",IF($I$4=1,INDEX($B$3:$E$6,1,4) + $I$6*INDEX($B$3:$E$6,$I$5,4),INDEX($B$3:$E$6,1,4)),INDEX($B$3:$E$6,1,4))))</f>
        <v>8</v>
      </c>
    </row>
    <row r="10" spans="1:9" x14ac:dyDescent="0.3">
      <c r="B10" s="38">
        <f>IF($I$3="Swap Rows",IF($I$4=2,INDEX($B$3:$E$6,$I$5,1),IF($I$5=2,INDEX($B$3:$E$6,$I$4,1),INDEX($B$3:$E$6,2,1))),IF($I$3="Multiply Row",IF($I$4=2,$I$6*INDEX($B$3:$E$6,2,1),INDEX($B$3:$E$6,2,1)),IF($I$3="Add Multiple",IF($I$4=2,INDEX($B$3:$E$6,2,1) + $I$6*INDEX($B$3:$E$6,$I$5,1),INDEX($B$3:$E$6,2,1)),INDEX($B$3:$E$6,2,1))))</f>
        <v>2</v>
      </c>
      <c r="C10" s="38">
        <f>IF($I$3="Swap Rows",IF($I$4=2,INDEX($B$3:$E$6,$I$5,2),IF($I$5=2,INDEX($B$3:$E$6,$I$4,2),INDEX($B$3:$E$6,2,2))),IF($I$3="Multiply Row",IF($I$4=2,$I$6*INDEX($B$3:$E$6,2,2),INDEX($B$3:$E$6,2,2)),IF($I$3="Add Multiple",IF($I$4=2,INDEX($B$3:$E$6,2,2) + $I$6*INDEX($B$3:$E$6,$I$5,2),INDEX($B$3:$E$6,2,2)),INDEX($B$3:$E$6,2,2))))</f>
        <v>2</v>
      </c>
      <c r="D10" s="38">
        <f>IF($I$3="Swap Rows",IF($I$4=2,INDEX($B$3:$E$6,$I$5,3),IF($I$5=2,INDEX($B$3:$E$6,$I$4,3),INDEX($B$3:$E$6,2,3))),IF($I$3="Multiply Row",IF($I$4=2,$I$6*INDEX($B$3:$E$6,2,3),INDEX($B$3:$E$6,2,3)),IF($I$3="Add Multiple",IF($I$4=2,INDEX($B$3:$E$6,2,3) + $I$6*INDEX($B$3:$E$6,$I$5,3),INDEX($B$3:$E$6,2,3)),INDEX($B$3:$E$6,2,3))))</f>
        <v>3</v>
      </c>
      <c r="E10" s="38">
        <f>IF($I$3="Swap Rows",IF($I$4=2,INDEX($B$3:$E$6,$I$5,4),IF($I$5=2,INDEX($B$3:$E$6,$I$4,4),INDEX($B$3:$E$6,2,4))),IF($I$3="Multiply Row",IF($I$4=2,$I$6*INDEX($B$3:$E$6,2,4),INDEX($B$3:$E$6,2,4)),IF($I$3="Add Multiple",IF($I$4=2,INDEX($B$3:$E$6,2,4) + $I$6*INDEX($B$3:$E$6,$I$5,4),INDEX($B$3:$E$6,2,4)),INDEX($B$3:$E$6,2,4))))</f>
        <v>4</v>
      </c>
    </row>
    <row r="11" spans="1:9" x14ac:dyDescent="0.3">
      <c r="B11" s="38">
        <f>IF($I$3="Swap Rows",IF($I$4=3,INDEX($B$3:$E$6,$I$5,1),IF($I$5=3,INDEX($B$3:$E$6,$I$4,1),INDEX($B$3:$E$6,3,1))),IF($I$3="Multiply Row",IF($I$4=3,$I$6*INDEX($B$3:$E$6,3,1),INDEX($B$3:$E$6,3,1)),IF($I$3="Add Multiple",IF($I$4=3,INDEX($B$3:$E$6,3,1) + $I$6*INDEX($B$3:$E$6,$I$5,1),INDEX($B$3:$E$6,3,1)),INDEX($B$3:$E$6,3,1))))</f>
        <v>3</v>
      </c>
      <c r="C11" s="38">
        <f>IF($I$3="Swap Rows",IF($I$4=3,INDEX($B$3:$E$6,$I$5,2),IF($I$5=3,INDEX($B$3:$E$6,$I$4,2),INDEX($B$3:$E$6,3,2))),IF($I$3="Multiply Row",IF($I$4=3,$I$6*INDEX($B$3:$E$6,3,2),INDEX($B$3:$E$6,3,2)),IF($I$3="Add Multiple",IF($I$4=3,INDEX($B$3:$E$6,3,2) + $I$6*INDEX($B$3:$E$6,$I$5,2),INDEX($B$3:$E$6,3,2)),INDEX($B$3:$E$6,3,2))))</f>
        <v>6</v>
      </c>
      <c r="D11" s="38">
        <f>IF($I$3="Swap Rows",IF($I$4=3,INDEX($B$3:$E$6,$I$5,3),IF($I$5=3,INDEX($B$3:$E$6,$I$4,3),INDEX($B$3:$E$6,3,3))),IF($I$3="Multiply Row",IF($I$4=3,$I$6*INDEX($B$3:$E$6,3,3),INDEX($B$3:$E$6,3,3)),IF($I$3="Add Multiple",IF($I$4=3,INDEX($B$3:$E$6,3,3) + $I$6*INDEX($B$3:$E$6,$I$5,3),INDEX($B$3:$E$6,3,3)),INDEX($B$3:$E$6,3,3))))</f>
        <v>9</v>
      </c>
      <c r="E11" s="38">
        <f>IF($I$3="Swap Rows",IF($I$4=3,INDEX($B$3:$E$6,$I$5,4),IF($I$5=3,INDEX($B$3:$E$6,$I$4,4),INDEX($B$3:$E$6,3,4))),IF($I$3="Multiply Row",IF($I$4=3,$I$6*INDEX($B$3:$E$6,3,4),INDEX($B$3:$E$6,3,4)),IF($I$3="Add Multiple",IF($I$4=3,INDEX($B$3:$E$6,3,4) + $I$6*INDEX($B$3:$E$6,$I$5,4),INDEX($B$3:$E$6,3,4)),INDEX($B$3:$E$6,3,4))))</f>
        <v>12</v>
      </c>
    </row>
    <row r="12" spans="1:9" x14ac:dyDescent="0.3">
      <c r="B12" s="38">
        <f>IF($I$3="Swap Rows",IF($I$4=4,INDEX($B$3:$E$6,$I$5,1),IF($I$5=4,INDEX($B$3:$E$6,$I$4,1),INDEX($B$3:$E$6,4,1))),IF($I$3="Multiply Row",IF($I$4=4,$I$6*INDEX($B$3:$E$6,4,1),INDEX($B$3:$E$6,4,1)),IF($I$3="Add Multiple",IF($I$4=4,INDEX($B$3:$E$6,4,1) + $I$6*INDEX($B$3:$E$6,$I$5,1),INDEX($B$3:$E$6,4,1)),INDEX($B$3:$E$6,4,1))))</f>
        <v>4</v>
      </c>
      <c r="C12" s="38">
        <f>IF($I$3="Swap Rows",IF($I$4=4,INDEX($B$3:$E$6,$I$5,2),IF($I$5=4,INDEX($B$3:$E$6,$I$4,2),INDEX($B$3:$E$6,4,2))),IF($I$3="Multiply Row",IF($I$4=4,$I$6*INDEX($B$3:$E$6,4,2),INDEX($B$3:$E$6,4,2)),IF($I$3="Add Multiple",IF($I$4=4,INDEX($B$3:$E$6,4,2) + $I$6*INDEX($B$3:$E$6,$I$5,2),INDEX($B$3:$E$6,4,2)),INDEX($B$3:$E$6,4,2))))</f>
        <v>8</v>
      </c>
      <c r="D12" s="38">
        <f>IF($I$3="Swap Rows",IF($I$4=4,INDEX($B$3:$E$6,$I$5,3),IF($I$5=4,INDEX($B$3:$E$6,$I$4,3),INDEX($B$3:$E$6,4,3))),IF($I$3="Multiply Row",IF($I$4=4,$I$6*INDEX($B$3:$E$6,4,3),INDEX($B$3:$E$6,4,3)),IF($I$3="Add Multiple",IF($I$4=4,INDEX($B$3:$E$6,4,3) + $I$6*INDEX($B$3:$E$6,$I$5,3),INDEX($B$3:$E$6,4,3)),INDEX($B$3:$E$6,4,3))))</f>
        <v>12</v>
      </c>
      <c r="E12" s="38">
        <f>IF($I$3="Swap Rows",IF($I$4=4,INDEX($B$3:$E$6,$I$5,4),IF($I$5=4,INDEX($B$3:$E$6,$I$4,4),INDEX($B$3:$E$6,4,4))),IF($I$3="Multiply Row",IF($I$4=4,$I$6*INDEX($B$3:$E$6,4,4),INDEX($B$3:$E$6,4,4)),IF($I$3="Add Multiple",IF($I$4=4,INDEX($B$3:$E$6,4,4) + $I$6*INDEX($B$3:$E$6,$I$5,4),INDEX($B$3:$E$6,4,4)),INDEX($B$3:$E$6,4,4))))</f>
        <v>16</v>
      </c>
    </row>
    <row r="14" spans="1:9" x14ac:dyDescent="0.3">
      <c r="B14" t="s">
        <v>195</v>
      </c>
      <c r="C14" t="str">
        <f>IF($I$3="Swap Rows","Swap R" &amp; $I$4 &amp; " &lt;-&gt; R" &amp; $I$5,IF($I$3="Multiply Row","R" &amp; $I$4 &amp; " -&gt; (" &amp; $I$6 &amp; ") * R" &amp; $I$4,IF($I$3="Add Multiple","R" &amp; $I$4 &amp; " -&gt; R" &amp; $I$4 &amp; " + (" &amp; $I$6 &amp; ")*R" &amp; $I$5,"")))</f>
        <v>Swap R2 &lt;-&gt; R1</v>
      </c>
    </row>
  </sheetData>
  <mergeCells count="1">
    <mergeCell ref="A1:F1"/>
  </mergeCells>
  <dataValidations count="1">
    <dataValidation type="list" showInputMessage="1" showErrorMessage="1" sqref="I3" xr:uid="{00000000-0002-0000-0200-000000000000}">
      <formula1>"Swap Rows,Multiply Row,Add Multiple"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0B05-7E04-496C-BAA6-AB17EDF8BBB3}">
  <sheetPr codeName="Sheet5"/>
  <dimension ref="A1:O23"/>
  <sheetViews>
    <sheetView workbookViewId="0">
      <selection activeCell="M19" sqref="M19:O21"/>
    </sheetView>
  </sheetViews>
  <sheetFormatPr defaultRowHeight="14.4" x14ac:dyDescent="0.3"/>
  <cols>
    <col min="1" max="1" width="23.6640625" customWidth="1"/>
    <col min="7" max="7" width="17.5546875" customWidth="1"/>
    <col min="13" max="13" width="19.21875" customWidth="1"/>
  </cols>
  <sheetData>
    <row r="1" spans="1:15" ht="19.8" x14ac:dyDescent="0.4">
      <c r="A1" s="26" t="s">
        <v>11</v>
      </c>
      <c r="G1" s="2" t="s">
        <v>13</v>
      </c>
      <c r="M1" s="2" t="s">
        <v>17</v>
      </c>
    </row>
    <row r="3" spans="1:15" x14ac:dyDescent="0.3">
      <c r="A3" s="3" t="s">
        <v>25</v>
      </c>
      <c r="G3" s="5" t="s">
        <v>14</v>
      </c>
      <c r="M3" s="5" t="s">
        <v>14</v>
      </c>
    </row>
    <row r="4" spans="1:15" x14ac:dyDescent="0.3">
      <c r="A4" s="31">
        <v>2</v>
      </c>
      <c r="B4" s="31">
        <v>1</v>
      </c>
      <c r="C4" s="31">
        <v>3</v>
      </c>
      <c r="G4" s="31">
        <f>A4</f>
        <v>2</v>
      </c>
      <c r="H4" s="31">
        <f>B4</f>
        <v>1</v>
      </c>
      <c r="I4" s="31">
        <f>C4</f>
        <v>3</v>
      </c>
      <c r="M4" s="31">
        <f t="shared" ref="M4:O6" si="0">A4</f>
        <v>2</v>
      </c>
      <c r="N4" s="31">
        <f t="shared" si="0"/>
        <v>1</v>
      </c>
      <c r="O4" s="31">
        <f t="shared" si="0"/>
        <v>3</v>
      </c>
    </row>
    <row r="5" spans="1:15" x14ac:dyDescent="0.3">
      <c r="A5" s="31">
        <v>4</v>
      </c>
      <c r="B5" s="31">
        <v>3</v>
      </c>
      <c r="C5" s="31">
        <v>1</v>
      </c>
      <c r="G5" s="31">
        <v>4</v>
      </c>
      <c r="H5" s="31">
        <f>B5</f>
        <v>3</v>
      </c>
      <c r="I5" s="31">
        <f>C5</f>
        <v>1</v>
      </c>
      <c r="M5" s="31">
        <f t="shared" si="0"/>
        <v>4</v>
      </c>
      <c r="N5" s="31">
        <f t="shared" si="0"/>
        <v>3</v>
      </c>
      <c r="O5" s="31">
        <f t="shared" si="0"/>
        <v>1</v>
      </c>
    </row>
    <row r="6" spans="1:15" x14ac:dyDescent="0.3">
      <c r="A6" s="31">
        <v>1</v>
      </c>
      <c r="B6" s="31">
        <v>2</v>
      </c>
      <c r="C6" s="31">
        <v>2</v>
      </c>
      <c r="G6" s="31">
        <v>1</v>
      </c>
      <c r="H6" s="31">
        <v>2</v>
      </c>
      <c r="I6" s="31">
        <f>C6</f>
        <v>2</v>
      </c>
      <c r="M6" s="31">
        <f t="shared" si="0"/>
        <v>1</v>
      </c>
      <c r="N6" s="31">
        <f t="shared" si="0"/>
        <v>2</v>
      </c>
      <c r="O6" s="31">
        <f t="shared" si="0"/>
        <v>2</v>
      </c>
    </row>
    <row r="8" spans="1:15" x14ac:dyDescent="0.3">
      <c r="A8" s="3" t="s">
        <v>12</v>
      </c>
      <c r="G8" s="5" t="s">
        <v>15</v>
      </c>
      <c r="M8" s="5" t="s">
        <v>18</v>
      </c>
    </row>
    <row r="9" spans="1:15" x14ac:dyDescent="0.3">
      <c r="A9" t="s">
        <v>26</v>
      </c>
      <c r="G9" s="31">
        <f>+G4</f>
        <v>2</v>
      </c>
      <c r="H9" s="31">
        <f>+H4</f>
        <v>1</v>
      </c>
      <c r="I9" s="31">
        <f>+I4</f>
        <v>3</v>
      </c>
      <c r="M9" s="31">
        <f>+M4</f>
        <v>2</v>
      </c>
      <c r="N9" s="31">
        <f>+N4</f>
        <v>1</v>
      </c>
      <c r="O9" s="31">
        <f>+O4</f>
        <v>3</v>
      </c>
    </row>
    <row r="10" spans="1:15" x14ac:dyDescent="0.3">
      <c r="A10" s="1" t="s">
        <v>27</v>
      </c>
      <c r="G10" s="31">
        <f>G5-(($G$5/$G$4)*G4)</f>
        <v>0</v>
      </c>
      <c r="H10" s="31">
        <f>H5-(($G$5/$G$4)*H4)</f>
        <v>1</v>
      </c>
      <c r="I10" s="31">
        <f>I5-(($G$5/$G$4)*I4)</f>
        <v>-5</v>
      </c>
      <c r="M10" s="31">
        <f>+M5-($O$5/$O$6*M6)</f>
        <v>3.5</v>
      </c>
      <c r="N10" s="31">
        <f>+N5-($O$5/$O$6*N6)</f>
        <v>2</v>
      </c>
      <c r="O10" s="31">
        <f>+O5-($O$5/$O$6*O6)</f>
        <v>0</v>
      </c>
    </row>
    <row r="11" spans="1:15" x14ac:dyDescent="0.3">
      <c r="G11" s="31">
        <f>IF(ROW(G6)&lt;=COLUMN(G6), G6, 0)</f>
        <v>1</v>
      </c>
      <c r="H11" s="31">
        <f>IF(ROW(H6)&lt;=COLUMN(H6), H6, 0)</f>
        <v>2</v>
      </c>
      <c r="I11" s="31">
        <f>IF(ROW(I6)&lt;=COLUMN(I6), I6, 0)</f>
        <v>2</v>
      </c>
      <c r="M11" s="31">
        <f>+M6-($O$5/$O$6*O7)</f>
        <v>1</v>
      </c>
      <c r="N11" s="31">
        <f>+N6</f>
        <v>2</v>
      </c>
      <c r="O11" s="31">
        <f>+O6</f>
        <v>2</v>
      </c>
    </row>
    <row r="13" spans="1:15" x14ac:dyDescent="0.3">
      <c r="G13" s="5" t="s">
        <v>16</v>
      </c>
    </row>
    <row r="14" spans="1:15" x14ac:dyDescent="0.3">
      <c r="G14" s="31">
        <f>+G4</f>
        <v>2</v>
      </c>
      <c r="H14" s="31">
        <f>H9</f>
        <v>1</v>
      </c>
      <c r="I14" s="31">
        <f>I9</f>
        <v>3</v>
      </c>
      <c r="M14" s="31">
        <f>M4-($O$4/$O$6)*M6</f>
        <v>0.5</v>
      </c>
      <c r="N14" s="31">
        <f>N4-($O$4/$O$6)*N6</f>
        <v>-2</v>
      </c>
      <c r="O14" s="31">
        <f>O4-($O$4/$O$6)*O6</f>
        <v>0</v>
      </c>
    </row>
    <row r="15" spans="1:15" x14ac:dyDescent="0.3">
      <c r="G15" s="31">
        <f>G10</f>
        <v>0</v>
      </c>
      <c r="H15" s="31">
        <f>H10</f>
        <v>1</v>
      </c>
      <c r="I15" s="31">
        <f>I10</f>
        <v>-5</v>
      </c>
      <c r="M15" s="31">
        <f>+M5-($O$5/$O$6*M6)</f>
        <v>3.5</v>
      </c>
      <c r="N15" s="31">
        <f>+N5-($O$5/$O$6*N6)</f>
        <v>2</v>
      </c>
      <c r="O15" s="31">
        <f>+O5-($O$5/$O$6*O6)</f>
        <v>0</v>
      </c>
    </row>
    <row r="16" spans="1:15" x14ac:dyDescent="0.3">
      <c r="G16" s="31">
        <f>G6-($G$6/$G$4*G4)</f>
        <v>0</v>
      </c>
      <c r="H16" s="31">
        <f>H6-($G$6/$G$4*H4)</f>
        <v>1.5</v>
      </c>
      <c r="I16" s="31">
        <f>I6-($G$6/$G$4*I4)</f>
        <v>0.5</v>
      </c>
      <c r="M16" s="31">
        <f>+M6</f>
        <v>1</v>
      </c>
      <c r="N16" s="31">
        <f>+N6</f>
        <v>2</v>
      </c>
      <c r="O16" s="31">
        <f>+O6</f>
        <v>2</v>
      </c>
    </row>
    <row r="19" spans="1:15" x14ac:dyDescent="0.3">
      <c r="G19" s="31">
        <f>+G9</f>
        <v>2</v>
      </c>
      <c r="H19" s="31">
        <f>H14</f>
        <v>1</v>
      </c>
      <c r="I19" s="31">
        <f>I14</f>
        <v>3</v>
      </c>
      <c r="M19" s="31">
        <f>M14-($N$15/$N$14)*M15</f>
        <v>4</v>
      </c>
      <c r="N19" s="31">
        <f>N14-($N$15/$N$14)*N15</f>
        <v>0</v>
      </c>
      <c r="O19" s="31">
        <f>+O14</f>
        <v>0</v>
      </c>
    </row>
    <row r="20" spans="1:15" x14ac:dyDescent="0.3">
      <c r="A20" s="3" t="s">
        <v>19</v>
      </c>
      <c r="G20" s="31">
        <f>G15</f>
        <v>0</v>
      </c>
      <c r="H20" s="31">
        <f>H15</f>
        <v>1</v>
      </c>
      <c r="I20" s="31">
        <f>I15</f>
        <v>-5</v>
      </c>
      <c r="M20" s="31">
        <f>+M15</f>
        <v>3.5</v>
      </c>
      <c r="N20" s="31">
        <f>+N15</f>
        <v>2</v>
      </c>
      <c r="O20" s="31">
        <f>+O15</f>
        <v>0</v>
      </c>
    </row>
    <row r="21" spans="1:15" x14ac:dyDescent="0.3">
      <c r="A21" s="1" t="s">
        <v>20</v>
      </c>
      <c r="G21" s="31">
        <f>G11-($G$6/$G$4*G9)</f>
        <v>0</v>
      </c>
      <c r="H21" s="31">
        <f>+H16-$H$16*H15</f>
        <v>0</v>
      </c>
      <c r="I21" s="31">
        <f>+I16-$H$16*I15</f>
        <v>8</v>
      </c>
      <c r="M21" s="31">
        <f>+M16</f>
        <v>1</v>
      </c>
      <c r="N21" s="31">
        <f>+N16</f>
        <v>2</v>
      </c>
      <c r="O21" s="31">
        <f>+O16</f>
        <v>2</v>
      </c>
    </row>
    <row r="22" spans="1:15" x14ac:dyDescent="0.3">
      <c r="A22" t="s">
        <v>21</v>
      </c>
    </row>
    <row r="23" spans="1:15" x14ac:dyDescent="0.3">
      <c r="A23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8D5E-DCEC-4514-9A75-923AA41F2755}">
  <sheetPr codeName="Sheet6"/>
  <dimension ref="A1:N82"/>
  <sheetViews>
    <sheetView topLeftCell="A9" workbookViewId="0">
      <selection activeCell="G80" sqref="G80:G82"/>
    </sheetView>
  </sheetViews>
  <sheetFormatPr defaultRowHeight="14.4" x14ac:dyDescent="0.3"/>
  <cols>
    <col min="11" max="11" width="31.77734375" customWidth="1"/>
  </cols>
  <sheetData>
    <row r="1" spans="1:13" ht="19.8" x14ac:dyDescent="0.4">
      <c r="A1" s="26" t="s">
        <v>28</v>
      </c>
      <c r="B1" s="2"/>
      <c r="C1" s="2"/>
      <c r="E1" s="2"/>
      <c r="J1" s="2"/>
      <c r="L1" s="2"/>
      <c r="M1" s="2"/>
    </row>
    <row r="20" spans="1:13" ht="16.2" x14ac:dyDescent="0.35">
      <c r="F20" s="2" t="s">
        <v>30</v>
      </c>
      <c r="G20" s="2"/>
      <c r="H20" s="2"/>
      <c r="K20" s="2" t="s">
        <v>33</v>
      </c>
    </row>
    <row r="21" spans="1:13" x14ac:dyDescent="0.3">
      <c r="A21" s="3" t="s">
        <v>29</v>
      </c>
      <c r="F21" s="3" t="s">
        <v>31</v>
      </c>
      <c r="G21" s="3"/>
      <c r="K21" s="3" t="s">
        <v>34</v>
      </c>
    </row>
    <row r="22" spans="1:13" x14ac:dyDescent="0.3">
      <c r="A22" s="31">
        <v>2</v>
      </c>
      <c r="B22" s="31">
        <v>-1</v>
      </c>
      <c r="C22" s="31">
        <v>1</v>
      </c>
      <c r="F22" s="31">
        <f>A22</f>
        <v>2</v>
      </c>
      <c r="G22" s="31">
        <v>0</v>
      </c>
      <c r="H22" s="31">
        <v>0</v>
      </c>
      <c r="K22" s="31">
        <v>1</v>
      </c>
      <c r="L22" s="31">
        <f>B22/F22</f>
        <v>-0.5</v>
      </c>
      <c r="M22" s="31">
        <f>C22/F22</f>
        <v>0.5</v>
      </c>
    </row>
    <row r="23" spans="1:13" x14ac:dyDescent="0.3">
      <c r="A23" s="31">
        <v>8</v>
      </c>
      <c r="B23" s="31">
        <v>3</v>
      </c>
      <c r="C23" s="31">
        <v>1</v>
      </c>
      <c r="F23" s="31">
        <f>A23</f>
        <v>8</v>
      </c>
      <c r="G23" s="31">
        <f>B23-F23*L22</f>
        <v>7</v>
      </c>
      <c r="H23" s="31">
        <v>0</v>
      </c>
      <c r="K23" s="31">
        <v>0</v>
      </c>
      <c r="L23" s="31">
        <v>1</v>
      </c>
      <c r="M23" s="31">
        <f>(C23-F23*M22)/G23</f>
        <v>-0.42857142857142855</v>
      </c>
    </row>
    <row r="24" spans="1:13" x14ac:dyDescent="0.3">
      <c r="A24" s="31">
        <v>4</v>
      </c>
      <c r="B24" s="31">
        <v>1</v>
      </c>
      <c r="C24" s="31">
        <v>-2</v>
      </c>
      <c r="F24" s="31">
        <f>A24</f>
        <v>4</v>
      </c>
      <c r="G24" s="31">
        <f>B24-F24*L22</f>
        <v>3</v>
      </c>
      <c r="H24" s="31">
        <f>C24-F24*M22-G24*M23</f>
        <v>-2.7142857142857144</v>
      </c>
      <c r="K24" s="31">
        <v>0</v>
      </c>
      <c r="L24" s="31">
        <v>0</v>
      </c>
      <c r="M24" s="31">
        <v>1</v>
      </c>
    </row>
    <row r="26" spans="1:13" ht="16.2" x14ac:dyDescent="0.35">
      <c r="F26" s="2" t="s">
        <v>32</v>
      </c>
      <c r="G26" s="2"/>
      <c r="H26" s="2"/>
      <c r="I26" s="2"/>
    </row>
    <row r="27" spans="1:13" x14ac:dyDescent="0.3">
      <c r="F27" s="31">
        <f>F22</f>
        <v>2</v>
      </c>
      <c r="G27" s="31">
        <f t="shared" ref="G27:H29" si="0">G22</f>
        <v>0</v>
      </c>
      <c r="H27" s="31">
        <f t="shared" si="0"/>
        <v>0</v>
      </c>
    </row>
    <row r="28" spans="1:13" x14ac:dyDescent="0.3">
      <c r="F28" s="31">
        <f>F23</f>
        <v>8</v>
      </c>
      <c r="G28" s="31">
        <f>G23</f>
        <v>7</v>
      </c>
      <c r="H28" s="31">
        <f t="shared" si="0"/>
        <v>0</v>
      </c>
    </row>
    <row r="29" spans="1:13" x14ac:dyDescent="0.3">
      <c r="F29" s="31">
        <f>F24</f>
        <v>4</v>
      </c>
      <c r="G29" s="31">
        <f t="shared" si="0"/>
        <v>3</v>
      </c>
      <c r="H29" s="31">
        <f>H24</f>
        <v>-2.7142857142857144</v>
      </c>
    </row>
    <row r="39" spans="2:11" x14ac:dyDescent="0.3">
      <c r="B39" t="s">
        <v>141</v>
      </c>
    </row>
    <row r="40" spans="2:11" x14ac:dyDescent="0.3">
      <c r="B40" t="s">
        <v>142</v>
      </c>
    </row>
    <row r="41" spans="2:11" x14ac:dyDescent="0.3">
      <c r="B41" t="s">
        <v>143</v>
      </c>
    </row>
    <row r="42" spans="2:11" x14ac:dyDescent="0.3">
      <c r="B42" t="s">
        <v>144</v>
      </c>
    </row>
    <row r="43" spans="2:11" x14ac:dyDescent="0.3">
      <c r="D43" s="38">
        <v>2</v>
      </c>
      <c r="E43" s="38">
        <v>1</v>
      </c>
      <c r="F43" s="38">
        <v>4</v>
      </c>
      <c r="I43" s="38">
        <v>12</v>
      </c>
      <c r="K43" s="38" t="s">
        <v>147</v>
      </c>
    </row>
    <row r="44" spans="2:11" ht="18" x14ac:dyDescent="0.35">
      <c r="C44" s="12" t="s">
        <v>145</v>
      </c>
      <c r="D44" s="38">
        <v>8</v>
      </c>
      <c r="E44" s="38">
        <v>-3</v>
      </c>
      <c r="F44" s="38">
        <v>2</v>
      </c>
      <c r="H44" s="14" t="s">
        <v>146</v>
      </c>
      <c r="I44" s="38">
        <v>20</v>
      </c>
      <c r="K44" s="38" t="s">
        <v>148</v>
      </c>
    </row>
    <row r="45" spans="2:11" x14ac:dyDescent="0.3">
      <c r="D45" s="38">
        <v>4</v>
      </c>
      <c r="E45" s="38">
        <v>11</v>
      </c>
      <c r="F45" s="38">
        <v>-1</v>
      </c>
      <c r="I45" s="38">
        <v>33</v>
      </c>
      <c r="K45" s="38" t="s">
        <v>149</v>
      </c>
    </row>
    <row r="46" spans="2:11" x14ac:dyDescent="0.3">
      <c r="I46" s="11"/>
    </row>
    <row r="48" spans="2:11" x14ac:dyDescent="0.3">
      <c r="F48" s="13"/>
    </row>
    <row r="49" spans="2:14" x14ac:dyDescent="0.3">
      <c r="B49" s="7" t="s">
        <v>162</v>
      </c>
      <c r="C49" t="s">
        <v>150</v>
      </c>
    </row>
    <row r="50" spans="2:14" ht="18" x14ac:dyDescent="0.35">
      <c r="E50" s="12" t="s">
        <v>152</v>
      </c>
      <c r="I50" s="12" t="s">
        <v>153</v>
      </c>
      <c r="M50" s="12" t="s">
        <v>154</v>
      </c>
    </row>
    <row r="51" spans="2:14" x14ac:dyDescent="0.3">
      <c r="D51" s="38">
        <f t="shared" ref="D51:F53" si="1">D43</f>
        <v>2</v>
      </c>
      <c r="E51" s="38">
        <f t="shared" si="1"/>
        <v>1</v>
      </c>
      <c r="F51" s="38">
        <f t="shared" si="1"/>
        <v>4</v>
      </c>
      <c r="H51" s="38">
        <f t="shared" ref="H51:H53" si="2">D51</f>
        <v>2</v>
      </c>
      <c r="I51" s="38">
        <v>0</v>
      </c>
      <c r="J51" s="38">
        <v>0</v>
      </c>
      <c r="L51" s="38">
        <v>1</v>
      </c>
      <c r="M51" s="38">
        <f>E51/H51</f>
        <v>0.5</v>
      </c>
      <c r="N51" s="38">
        <f>F51/H51</f>
        <v>2</v>
      </c>
    </row>
    <row r="52" spans="2:14" x14ac:dyDescent="0.3">
      <c r="D52" s="38">
        <f t="shared" si="1"/>
        <v>8</v>
      </c>
      <c r="E52" s="38">
        <f t="shared" si="1"/>
        <v>-3</v>
      </c>
      <c r="F52" s="38">
        <f t="shared" si="1"/>
        <v>2</v>
      </c>
      <c r="G52" s="11" t="s">
        <v>151</v>
      </c>
      <c r="H52" s="38">
        <f t="shared" si="2"/>
        <v>8</v>
      </c>
      <c r="I52" s="38">
        <f>E52-(H52*M51)</f>
        <v>-7</v>
      </c>
      <c r="J52" s="38">
        <v>0</v>
      </c>
      <c r="L52" s="38">
        <v>0</v>
      </c>
      <c r="M52" s="38">
        <v>1</v>
      </c>
      <c r="N52" s="38">
        <f>(F52-H52*N51)/I52</f>
        <v>2</v>
      </c>
    </row>
    <row r="53" spans="2:14" x14ac:dyDescent="0.3">
      <c r="D53" s="38">
        <f t="shared" si="1"/>
        <v>4</v>
      </c>
      <c r="E53" s="38">
        <f t="shared" si="1"/>
        <v>11</v>
      </c>
      <c r="F53" s="38">
        <f t="shared" si="1"/>
        <v>-1</v>
      </c>
      <c r="H53" s="38">
        <f t="shared" si="2"/>
        <v>4</v>
      </c>
      <c r="I53" s="38">
        <f>E53-H53*M51</f>
        <v>9</v>
      </c>
      <c r="J53" s="38">
        <f>F53-(H53*N51)-(I53*N52)</f>
        <v>-27</v>
      </c>
      <c r="L53" s="38">
        <v>0</v>
      </c>
      <c r="M53" s="38">
        <v>0</v>
      </c>
      <c r="N53" s="38">
        <v>1</v>
      </c>
    </row>
    <row r="58" spans="2:14" x14ac:dyDescent="0.3">
      <c r="B58" s="7" t="s">
        <v>163</v>
      </c>
      <c r="C58" t="s">
        <v>155</v>
      </c>
    </row>
    <row r="59" spans="2:14" ht="18" x14ac:dyDescent="0.35">
      <c r="E59" s="12" t="s">
        <v>153</v>
      </c>
      <c r="H59" s="14" t="s">
        <v>159</v>
      </c>
      <c r="J59" s="14" t="s">
        <v>160</v>
      </c>
    </row>
    <row r="60" spans="2:14" x14ac:dyDescent="0.3">
      <c r="D60" s="38">
        <f t="shared" ref="D60:F62" si="3">H51</f>
        <v>2</v>
      </c>
      <c r="E60" s="38">
        <f t="shared" si="3"/>
        <v>0</v>
      </c>
      <c r="F60" s="38">
        <f t="shared" si="3"/>
        <v>0</v>
      </c>
      <c r="H60" s="38" t="s">
        <v>156</v>
      </c>
      <c r="J60" s="38">
        <f t="shared" ref="J60:J62" si="4">I43</f>
        <v>12</v>
      </c>
    </row>
    <row r="61" spans="2:14" x14ac:dyDescent="0.3">
      <c r="D61" s="38">
        <f t="shared" si="3"/>
        <v>8</v>
      </c>
      <c r="E61" s="38">
        <f t="shared" si="3"/>
        <v>-7</v>
      </c>
      <c r="F61" s="38">
        <f t="shared" si="3"/>
        <v>0</v>
      </c>
      <c r="H61" s="38" t="s">
        <v>157</v>
      </c>
      <c r="I61" s="11" t="s">
        <v>151</v>
      </c>
      <c r="J61" s="38">
        <f>I44</f>
        <v>20</v>
      </c>
    </row>
    <row r="62" spans="2:14" x14ac:dyDescent="0.3">
      <c r="D62" s="38">
        <f t="shared" si="3"/>
        <v>4</v>
      </c>
      <c r="E62" s="38">
        <f t="shared" si="3"/>
        <v>9</v>
      </c>
      <c r="F62" s="38">
        <f t="shared" si="3"/>
        <v>-27</v>
      </c>
      <c r="H62" s="38" t="s">
        <v>158</v>
      </c>
      <c r="J62" s="38">
        <f t="shared" si="4"/>
        <v>33</v>
      </c>
    </row>
    <row r="63" spans="2:14" x14ac:dyDescent="0.3">
      <c r="D63" s="9"/>
      <c r="F63" s="10"/>
    </row>
    <row r="65" spans="2:10" ht="18" x14ac:dyDescent="0.35">
      <c r="D65" s="12" t="s">
        <v>159</v>
      </c>
    </row>
    <row r="66" spans="2:10" x14ac:dyDescent="0.3">
      <c r="D66" s="38" t="s">
        <v>156</v>
      </c>
      <c r="F66" s="38">
        <f>J60/D60</f>
        <v>6</v>
      </c>
    </row>
    <row r="67" spans="2:10" x14ac:dyDescent="0.3">
      <c r="D67" s="38" t="s">
        <v>157</v>
      </c>
      <c r="E67" t="s">
        <v>151</v>
      </c>
      <c r="F67" s="38">
        <f>(J61-D61*F66)/E61</f>
        <v>4</v>
      </c>
    </row>
    <row r="68" spans="2:10" x14ac:dyDescent="0.3">
      <c r="D68" s="38" t="s">
        <v>158</v>
      </c>
      <c r="F68" s="38">
        <f>(J62-D62*F66-E62*F67)/F62</f>
        <v>1</v>
      </c>
    </row>
    <row r="73" spans="2:10" ht="18" x14ac:dyDescent="0.35">
      <c r="B73" s="7" t="s">
        <v>164</v>
      </c>
      <c r="C73" s="7" t="s">
        <v>161</v>
      </c>
      <c r="E73" s="12" t="s">
        <v>154</v>
      </c>
      <c r="H73" s="15" t="s">
        <v>165</v>
      </c>
      <c r="J73" s="12" t="s">
        <v>159</v>
      </c>
    </row>
    <row r="74" spans="2:10" x14ac:dyDescent="0.3">
      <c r="D74" s="38">
        <f t="shared" ref="D74:F76" si="5">L51</f>
        <v>1</v>
      </c>
      <c r="E74" s="38">
        <f t="shared" si="5"/>
        <v>0.5</v>
      </c>
      <c r="F74" s="38">
        <f t="shared" si="5"/>
        <v>2</v>
      </c>
      <c r="H74" s="38" t="s">
        <v>147</v>
      </c>
      <c r="J74" s="38">
        <f t="shared" ref="J74:J76" si="6">F66</f>
        <v>6</v>
      </c>
    </row>
    <row r="75" spans="2:10" x14ac:dyDescent="0.3">
      <c r="D75" s="38">
        <f t="shared" si="5"/>
        <v>0</v>
      </c>
      <c r="E75" s="38">
        <f t="shared" si="5"/>
        <v>1</v>
      </c>
      <c r="F75" s="38">
        <f t="shared" si="5"/>
        <v>2</v>
      </c>
      <c r="H75" s="38" t="s">
        <v>148</v>
      </c>
      <c r="I75" s="11" t="s">
        <v>151</v>
      </c>
      <c r="J75" s="38">
        <f t="shared" si="6"/>
        <v>4</v>
      </c>
    </row>
    <row r="76" spans="2:10" x14ac:dyDescent="0.3">
      <c r="D76" s="38">
        <f t="shared" si="5"/>
        <v>0</v>
      </c>
      <c r="E76" s="38">
        <f t="shared" si="5"/>
        <v>0</v>
      </c>
      <c r="F76" s="38">
        <f t="shared" si="5"/>
        <v>1</v>
      </c>
      <c r="H76" s="38" t="s">
        <v>149</v>
      </c>
      <c r="J76" s="38">
        <f t="shared" si="6"/>
        <v>1</v>
      </c>
    </row>
    <row r="80" spans="2:10" x14ac:dyDescent="0.3">
      <c r="E80" s="38" t="s">
        <v>147</v>
      </c>
      <c r="G80" s="31">
        <f>J74-E74*G81-F74*G82</f>
        <v>3</v>
      </c>
    </row>
    <row r="81" spans="5:7" x14ac:dyDescent="0.3">
      <c r="E81" s="38" t="s">
        <v>148</v>
      </c>
      <c r="F81" t="s">
        <v>151</v>
      </c>
      <c r="G81" s="31">
        <f>J75-F75*G82</f>
        <v>2</v>
      </c>
    </row>
    <row r="82" spans="5:7" x14ac:dyDescent="0.3">
      <c r="E82" s="38" t="s">
        <v>149</v>
      </c>
      <c r="G82" s="31">
        <f>$J$76</f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4A76-0279-407B-AEB8-26EF32684065}">
  <sheetPr codeName="Sheet7"/>
  <dimension ref="A1:N82"/>
  <sheetViews>
    <sheetView topLeftCell="A12" workbookViewId="0">
      <selection activeCell="D80" sqref="D80:D82"/>
    </sheetView>
  </sheetViews>
  <sheetFormatPr defaultRowHeight="14.4" x14ac:dyDescent="0.3"/>
  <cols>
    <col min="1" max="1" width="32.6640625" customWidth="1"/>
    <col min="6" max="6" width="31.77734375" customWidth="1"/>
    <col min="11" max="11" width="31.5546875" customWidth="1"/>
  </cols>
  <sheetData>
    <row r="1" spans="1:8" ht="19.8" x14ac:dyDescent="0.4">
      <c r="A1" s="26" t="s">
        <v>56</v>
      </c>
      <c r="B1" s="2"/>
      <c r="C1" s="2"/>
      <c r="E1" s="2"/>
      <c r="G1" s="2"/>
      <c r="H1" s="2"/>
    </row>
    <row r="29" spans="1:13" ht="16.2" x14ac:dyDescent="0.35">
      <c r="F29" s="2" t="s">
        <v>58</v>
      </c>
      <c r="K29" s="2" t="s">
        <v>111</v>
      </c>
    </row>
    <row r="30" spans="1:13" x14ac:dyDescent="0.3">
      <c r="A30" s="3" t="s">
        <v>57</v>
      </c>
      <c r="F30" s="3" t="s">
        <v>59</v>
      </c>
      <c r="K30" s="3" t="s">
        <v>63</v>
      </c>
    </row>
    <row r="31" spans="1:13" x14ac:dyDescent="0.3">
      <c r="A31" s="31">
        <v>4</v>
      </c>
      <c r="B31" s="31">
        <v>22</v>
      </c>
      <c r="C31" s="31">
        <v>-13</v>
      </c>
      <c r="F31" s="31">
        <v>1</v>
      </c>
      <c r="G31" s="31">
        <v>0</v>
      </c>
      <c r="H31" s="31">
        <v>0</v>
      </c>
      <c r="K31" s="31">
        <f>A31/F31</f>
        <v>4</v>
      </c>
      <c r="L31" s="31">
        <f>B31/F31</f>
        <v>22</v>
      </c>
      <c r="M31" s="31">
        <f>C31/F31</f>
        <v>-13</v>
      </c>
    </row>
    <row r="32" spans="1:13" x14ac:dyDescent="0.3">
      <c r="A32" s="31">
        <v>19</v>
      </c>
      <c r="B32" s="31">
        <v>-13</v>
      </c>
      <c r="C32" s="31">
        <v>4</v>
      </c>
      <c r="F32" s="31">
        <f>A32/A31</f>
        <v>4.75</v>
      </c>
      <c r="G32" s="31">
        <v>1</v>
      </c>
      <c r="H32" s="31">
        <v>0</v>
      </c>
      <c r="K32" s="31">
        <v>0</v>
      </c>
      <c r="L32" s="31">
        <f>B32-F32*B31</f>
        <v>-117.5</v>
      </c>
      <c r="M32" s="31">
        <f>C32-F32*C31</f>
        <v>65.75</v>
      </c>
    </row>
    <row r="33" spans="1:13" x14ac:dyDescent="0.3">
      <c r="A33" s="31">
        <v>8</v>
      </c>
      <c r="B33" s="31">
        <v>8</v>
      </c>
      <c r="C33" s="31">
        <v>17</v>
      </c>
      <c r="F33" s="31">
        <f>A33/A31</f>
        <v>2</v>
      </c>
      <c r="G33" s="31">
        <f>(B33-F33*B31)/(B32-F32*B31)</f>
        <v>0.30638297872340425</v>
      </c>
      <c r="H33" s="31">
        <v>1</v>
      </c>
      <c r="K33" s="31">
        <v>0</v>
      </c>
      <c r="L33" s="31">
        <v>0</v>
      </c>
      <c r="M33" s="31">
        <f>C33-F33*M31-G33*M32</f>
        <v>22.855319148936172</v>
      </c>
    </row>
    <row r="35" spans="1:13" x14ac:dyDescent="0.3">
      <c r="F35" s="5" t="s">
        <v>61</v>
      </c>
      <c r="K35" s="5" t="s">
        <v>60</v>
      </c>
    </row>
    <row r="36" spans="1:13" x14ac:dyDescent="0.3">
      <c r="F36" t="s">
        <v>116</v>
      </c>
      <c r="K36" t="s">
        <v>112</v>
      </c>
    </row>
    <row r="37" spans="1:13" x14ac:dyDescent="0.3">
      <c r="F37" t="s">
        <v>117</v>
      </c>
      <c r="K37" t="s">
        <v>113</v>
      </c>
    </row>
    <row r="38" spans="1:13" x14ac:dyDescent="0.3">
      <c r="F38" t="s">
        <v>118</v>
      </c>
      <c r="K38" t="s">
        <v>114</v>
      </c>
    </row>
    <row r="39" spans="1:13" x14ac:dyDescent="0.3">
      <c r="K39" t="s">
        <v>115</v>
      </c>
    </row>
    <row r="40" spans="1:13" ht="16.2" x14ac:dyDescent="0.35">
      <c r="F40" s="2" t="s">
        <v>62</v>
      </c>
    </row>
    <row r="41" spans="1:13" ht="16.2" x14ac:dyDescent="0.35">
      <c r="F41" s="38">
        <f t="shared" ref="F41:H43" si="0">F31</f>
        <v>1</v>
      </c>
      <c r="G41" s="38">
        <f t="shared" si="0"/>
        <v>0</v>
      </c>
      <c r="H41" s="38">
        <f t="shared" si="0"/>
        <v>0</v>
      </c>
      <c r="K41" s="2" t="s">
        <v>64</v>
      </c>
    </row>
    <row r="42" spans="1:13" x14ac:dyDescent="0.3">
      <c r="F42" s="38">
        <f>F32</f>
        <v>4.75</v>
      </c>
      <c r="G42" s="38">
        <f t="shared" si="0"/>
        <v>1</v>
      </c>
      <c r="H42" s="38">
        <f>H32</f>
        <v>0</v>
      </c>
      <c r="K42" s="38">
        <f t="shared" ref="K42:M44" si="1">K31</f>
        <v>4</v>
      </c>
      <c r="L42" s="38">
        <f t="shared" si="1"/>
        <v>22</v>
      </c>
      <c r="M42" s="38">
        <f t="shared" si="1"/>
        <v>-13</v>
      </c>
    </row>
    <row r="43" spans="1:13" x14ac:dyDescent="0.3">
      <c r="F43" s="38">
        <f>F33</f>
        <v>2</v>
      </c>
      <c r="G43" s="38">
        <f>G33</f>
        <v>0.30638297872340425</v>
      </c>
      <c r="H43" s="38">
        <f t="shared" si="0"/>
        <v>1</v>
      </c>
      <c r="K43" s="38">
        <f t="shared" si="1"/>
        <v>0</v>
      </c>
      <c r="L43" s="38">
        <f t="shared" si="1"/>
        <v>-117.5</v>
      </c>
      <c r="M43" s="38">
        <f t="shared" si="1"/>
        <v>65.75</v>
      </c>
    </row>
    <row r="44" spans="1:13" x14ac:dyDescent="0.3">
      <c r="K44" s="38">
        <f t="shared" si="1"/>
        <v>0</v>
      </c>
      <c r="L44" s="38">
        <f t="shared" si="1"/>
        <v>0</v>
      </c>
      <c r="M44" s="38">
        <f t="shared" si="1"/>
        <v>22.855319148936172</v>
      </c>
    </row>
    <row r="47" spans="1:13" x14ac:dyDescent="0.3">
      <c r="A47" s="17" t="s">
        <v>141</v>
      </c>
    </row>
    <row r="48" spans="1:13" x14ac:dyDescent="0.3">
      <c r="A48" t="s">
        <v>166</v>
      </c>
    </row>
    <row r="49" spans="1:14" x14ac:dyDescent="0.3">
      <c r="A49" t="s">
        <v>167</v>
      </c>
    </row>
    <row r="50" spans="1:14" x14ac:dyDescent="0.3">
      <c r="A50" t="s">
        <v>168</v>
      </c>
      <c r="C50" s="11" t="s">
        <v>152</v>
      </c>
      <c r="F50" s="11" t="s">
        <v>174</v>
      </c>
    </row>
    <row r="51" spans="1:14" x14ac:dyDescent="0.3">
      <c r="B51" s="38">
        <v>4</v>
      </c>
      <c r="C51" s="38">
        <v>22</v>
      </c>
      <c r="D51" s="38">
        <v>-13</v>
      </c>
      <c r="F51" s="38">
        <v>-128</v>
      </c>
    </row>
    <row r="52" spans="1:14" x14ac:dyDescent="0.3">
      <c r="B52" s="38">
        <v>19</v>
      </c>
      <c r="C52" s="38">
        <v>-13</v>
      </c>
      <c r="D52" s="38">
        <v>4</v>
      </c>
      <c r="F52" s="38">
        <v>111</v>
      </c>
    </row>
    <row r="53" spans="1:14" x14ac:dyDescent="0.3">
      <c r="B53" s="38">
        <v>8</v>
      </c>
      <c r="C53" s="38">
        <v>8</v>
      </c>
      <c r="D53" s="38">
        <v>17</v>
      </c>
      <c r="F53" s="38">
        <v>10</v>
      </c>
    </row>
    <row r="55" spans="1:14" x14ac:dyDescent="0.3">
      <c r="C55" s="11" t="s">
        <v>152</v>
      </c>
      <c r="H55" s="11" t="s">
        <v>153</v>
      </c>
      <c r="M55" s="11" t="s">
        <v>154</v>
      </c>
    </row>
    <row r="56" spans="1:14" x14ac:dyDescent="0.3">
      <c r="A56" s="29" t="s">
        <v>231</v>
      </c>
      <c r="B56" s="38">
        <f t="shared" ref="B56:D58" si="2">B51</f>
        <v>4</v>
      </c>
      <c r="C56" s="38">
        <f t="shared" si="2"/>
        <v>22</v>
      </c>
      <c r="D56" s="38">
        <f t="shared" si="2"/>
        <v>-13</v>
      </c>
      <c r="G56" s="38">
        <v>1</v>
      </c>
      <c r="H56" s="38">
        <v>0</v>
      </c>
      <c r="I56" s="38">
        <v>0</v>
      </c>
      <c r="L56" s="38">
        <f>B56/G56</f>
        <v>4</v>
      </c>
      <c r="M56" s="38">
        <f>C56/G56</f>
        <v>22</v>
      </c>
      <c r="N56" s="38">
        <f>D56/G56</f>
        <v>-13</v>
      </c>
    </row>
    <row r="57" spans="1:14" x14ac:dyDescent="0.3">
      <c r="B57" s="38">
        <f t="shared" si="2"/>
        <v>19</v>
      </c>
      <c r="C57" s="38">
        <f t="shared" si="2"/>
        <v>-13</v>
      </c>
      <c r="D57" s="38">
        <f t="shared" si="2"/>
        <v>4</v>
      </c>
      <c r="F57" t="s">
        <v>151</v>
      </c>
      <c r="G57" s="38">
        <f>B57/B56</f>
        <v>4.75</v>
      </c>
      <c r="H57" s="38">
        <v>1</v>
      </c>
      <c r="I57" s="38">
        <v>0</v>
      </c>
      <c r="L57" s="38">
        <v>0</v>
      </c>
      <c r="M57" s="38">
        <f>C57-G57*C56</f>
        <v>-117.5</v>
      </c>
      <c r="N57" s="38">
        <f>D57-G57*N56</f>
        <v>65.75</v>
      </c>
    </row>
    <row r="58" spans="1:14" x14ac:dyDescent="0.3">
      <c r="B58" s="38">
        <f t="shared" si="2"/>
        <v>8</v>
      </c>
      <c r="C58" s="38">
        <f t="shared" si="2"/>
        <v>8</v>
      </c>
      <c r="D58" s="38">
        <f t="shared" si="2"/>
        <v>17</v>
      </c>
      <c r="G58" s="38">
        <f>B58/B56</f>
        <v>2</v>
      </c>
      <c r="H58" s="38">
        <f>(C58-G58*M56)/M57</f>
        <v>0.30638297872340425</v>
      </c>
      <c r="I58" s="38">
        <v>1</v>
      </c>
      <c r="L58" s="38">
        <v>0</v>
      </c>
      <c r="M58" s="38">
        <v>0</v>
      </c>
      <c r="N58" s="38">
        <f>D58-G58*N56-H58*N57</f>
        <v>22.855319148936172</v>
      </c>
    </row>
    <row r="59" spans="1:14" x14ac:dyDescent="0.3">
      <c r="G59" s="31"/>
      <c r="H59" s="31"/>
      <c r="I59" s="31"/>
    </row>
    <row r="61" spans="1:14" x14ac:dyDescent="0.3">
      <c r="A61" s="29" t="s">
        <v>229</v>
      </c>
      <c r="B61" s="30" t="s">
        <v>169</v>
      </c>
      <c r="C61" s="11" t="s">
        <v>174</v>
      </c>
      <c r="F61" s="11" t="s">
        <v>153</v>
      </c>
      <c r="I61" s="11" t="s">
        <v>175</v>
      </c>
    </row>
    <row r="62" spans="1:14" x14ac:dyDescent="0.3">
      <c r="C62" s="38">
        <f t="shared" ref="C62:C64" si="3">F51</f>
        <v>-128</v>
      </c>
      <c r="E62" s="38">
        <f t="shared" ref="E62:G64" si="4">G56</f>
        <v>1</v>
      </c>
      <c r="F62" s="38">
        <f t="shared" si="4"/>
        <v>0</v>
      </c>
      <c r="G62" s="38">
        <f t="shared" si="4"/>
        <v>0</v>
      </c>
      <c r="I62" s="38" t="s">
        <v>170</v>
      </c>
    </row>
    <row r="63" spans="1:14" x14ac:dyDescent="0.3">
      <c r="C63" s="38">
        <f t="shared" si="3"/>
        <v>111</v>
      </c>
      <c r="D63" t="s">
        <v>151</v>
      </c>
      <c r="E63" s="38">
        <f t="shared" si="4"/>
        <v>4.75</v>
      </c>
      <c r="F63" s="38">
        <f t="shared" si="4"/>
        <v>1</v>
      </c>
      <c r="G63" s="38">
        <f t="shared" si="4"/>
        <v>0</v>
      </c>
      <c r="I63" s="38" t="s">
        <v>171</v>
      </c>
    </row>
    <row r="64" spans="1:14" x14ac:dyDescent="0.3">
      <c r="C64" s="38">
        <f t="shared" si="3"/>
        <v>10</v>
      </c>
      <c r="E64" s="38">
        <f t="shared" si="4"/>
        <v>2</v>
      </c>
      <c r="F64" s="38">
        <f t="shared" si="4"/>
        <v>0.30638297872340425</v>
      </c>
      <c r="G64" s="38">
        <f t="shared" si="4"/>
        <v>1</v>
      </c>
      <c r="I64" s="38" t="s">
        <v>172</v>
      </c>
    </row>
    <row r="66" spans="1:8" x14ac:dyDescent="0.3">
      <c r="C66" s="38" t="s">
        <v>170</v>
      </c>
      <c r="E66" s="38">
        <f>C62/E62</f>
        <v>-128</v>
      </c>
    </row>
    <row r="67" spans="1:8" x14ac:dyDescent="0.3">
      <c r="C67" s="38" t="s">
        <v>171</v>
      </c>
      <c r="D67" t="s">
        <v>151</v>
      </c>
      <c r="E67" s="38">
        <f>C63-E63*E66</f>
        <v>719</v>
      </c>
    </row>
    <row r="68" spans="1:8" x14ac:dyDescent="0.3">
      <c r="C68" s="38" t="s">
        <v>172</v>
      </c>
      <c r="E68" s="38">
        <f>C64-E64*E66-F64*E67</f>
        <v>45.71063829787235</v>
      </c>
    </row>
    <row r="72" spans="1:8" x14ac:dyDescent="0.3">
      <c r="A72" s="30" t="s">
        <v>230</v>
      </c>
      <c r="B72" s="30" t="s">
        <v>173</v>
      </c>
    </row>
    <row r="73" spans="1:8" x14ac:dyDescent="0.3">
      <c r="B73" s="11" t="s">
        <v>175</v>
      </c>
      <c r="E73" s="11" t="s">
        <v>154</v>
      </c>
      <c r="H73" s="11" t="s">
        <v>165</v>
      </c>
    </row>
    <row r="74" spans="1:8" x14ac:dyDescent="0.3">
      <c r="B74" s="38">
        <f t="shared" ref="B74:B76" si="5">E66</f>
        <v>-128</v>
      </c>
      <c r="D74" s="38">
        <f t="shared" ref="D74:F76" si="6">L56</f>
        <v>4</v>
      </c>
      <c r="E74" s="38">
        <f t="shared" si="6"/>
        <v>22</v>
      </c>
      <c r="F74" s="38">
        <f t="shared" si="6"/>
        <v>-13</v>
      </c>
      <c r="H74" s="38" t="s">
        <v>147</v>
      </c>
    </row>
    <row r="75" spans="1:8" x14ac:dyDescent="0.3">
      <c r="B75" s="38">
        <f t="shared" si="5"/>
        <v>719</v>
      </c>
      <c r="C75" t="s">
        <v>151</v>
      </c>
      <c r="D75" s="38">
        <f t="shared" si="6"/>
        <v>0</v>
      </c>
      <c r="E75" s="38">
        <f t="shared" si="6"/>
        <v>-117.5</v>
      </c>
      <c r="F75" s="38">
        <f t="shared" si="6"/>
        <v>65.75</v>
      </c>
      <c r="H75" s="38" t="s">
        <v>148</v>
      </c>
    </row>
    <row r="76" spans="1:8" x14ac:dyDescent="0.3">
      <c r="B76" s="38">
        <f t="shared" si="5"/>
        <v>45.71063829787235</v>
      </c>
      <c r="D76" s="38">
        <f t="shared" si="6"/>
        <v>0</v>
      </c>
      <c r="E76" s="38">
        <f t="shared" si="6"/>
        <v>0</v>
      </c>
      <c r="F76" s="38">
        <f t="shared" si="6"/>
        <v>22.855319148936172</v>
      </c>
      <c r="H76" s="38" t="s">
        <v>149</v>
      </c>
    </row>
    <row r="80" spans="1:8" x14ac:dyDescent="0.3">
      <c r="B80" s="38" t="s">
        <v>147</v>
      </c>
      <c r="D80" s="38">
        <f>(B74-E74*D81-F74*D82)/D74</f>
        <v>2.0000000000000018</v>
      </c>
    </row>
    <row r="81" spans="2:4" x14ac:dyDescent="0.3">
      <c r="B81" s="38" t="s">
        <v>148</v>
      </c>
      <c r="C81" t="s">
        <v>151</v>
      </c>
      <c r="D81" s="38">
        <f>(B75-D82*F75)/E75</f>
        <v>-5</v>
      </c>
    </row>
    <row r="82" spans="2:4" x14ac:dyDescent="0.3">
      <c r="B82" s="38" t="s">
        <v>149</v>
      </c>
      <c r="D82" s="38">
        <f>B76/F76</f>
        <v>2.0000000000000004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D137-C8F9-40C8-A537-5441A5903965}">
  <sheetPr codeName="Sheet8"/>
  <dimension ref="A1:I60"/>
  <sheetViews>
    <sheetView workbookViewId="0">
      <selection activeCell="E41" sqref="E41"/>
    </sheetView>
  </sheetViews>
  <sheetFormatPr defaultRowHeight="14.4" x14ac:dyDescent="0.3"/>
  <cols>
    <col min="1" max="1" width="25.33203125" customWidth="1"/>
    <col min="5" max="5" width="20.77734375" customWidth="1"/>
  </cols>
  <sheetData>
    <row r="1" spans="1:7" ht="19.8" x14ac:dyDescent="0.4">
      <c r="A1" s="26" t="s">
        <v>65</v>
      </c>
      <c r="B1" s="2"/>
      <c r="G1" t="s">
        <v>119</v>
      </c>
    </row>
    <row r="3" spans="1:7" x14ac:dyDescent="0.3">
      <c r="A3" s="3" t="s">
        <v>66</v>
      </c>
      <c r="G3" t="s">
        <v>119</v>
      </c>
    </row>
    <row r="4" spans="1:7" x14ac:dyDescent="0.3">
      <c r="A4" s="31">
        <v>2</v>
      </c>
      <c r="B4" s="31">
        <v>1</v>
      </c>
      <c r="C4" s="31">
        <v>3</v>
      </c>
      <c r="D4" s="31">
        <v>11</v>
      </c>
      <c r="G4" t="s">
        <v>120</v>
      </c>
    </row>
    <row r="5" spans="1:7" x14ac:dyDescent="0.3">
      <c r="A5" s="31">
        <v>1</v>
      </c>
      <c r="B5" s="31">
        <v>3</v>
      </c>
      <c r="C5" s="31">
        <v>2</v>
      </c>
      <c r="D5" s="31">
        <v>13</v>
      </c>
      <c r="G5" t="s">
        <v>121</v>
      </c>
    </row>
    <row r="6" spans="1:7" x14ac:dyDescent="0.3">
      <c r="A6" s="31">
        <v>3</v>
      </c>
      <c r="B6" s="31">
        <v>2</v>
      </c>
      <c r="C6" s="31">
        <v>1</v>
      </c>
      <c r="D6" s="31">
        <v>12</v>
      </c>
    </row>
    <row r="7" spans="1:7" x14ac:dyDescent="0.3">
      <c r="G7" t="s">
        <v>122</v>
      </c>
    </row>
    <row r="8" spans="1:7" ht="16.2" x14ac:dyDescent="0.35">
      <c r="A8" s="2" t="s">
        <v>67</v>
      </c>
      <c r="B8">
        <v>3</v>
      </c>
      <c r="C8" t="s">
        <v>68</v>
      </c>
      <c r="D8">
        <v>3</v>
      </c>
      <c r="E8" s="5" t="s">
        <v>69</v>
      </c>
    </row>
    <row r="9" spans="1:7" x14ac:dyDescent="0.3">
      <c r="G9" s="3" t="s">
        <v>74</v>
      </c>
    </row>
    <row r="10" spans="1:7" x14ac:dyDescent="0.3">
      <c r="A10" s="3" t="s">
        <v>70</v>
      </c>
      <c r="G10" t="s">
        <v>123</v>
      </c>
    </row>
    <row r="11" spans="1:7" x14ac:dyDescent="0.3">
      <c r="A11" s="31">
        <v>1</v>
      </c>
      <c r="B11" s="31">
        <v>2</v>
      </c>
      <c r="C11" s="31">
        <v>3</v>
      </c>
      <c r="D11" s="31">
        <v>6</v>
      </c>
      <c r="G11" t="s">
        <v>125</v>
      </c>
    </row>
    <row r="12" spans="1:7" x14ac:dyDescent="0.3">
      <c r="A12" s="31">
        <v>2</v>
      </c>
      <c r="B12" s="31">
        <v>4</v>
      </c>
      <c r="C12" s="31">
        <v>6</v>
      </c>
      <c r="D12" s="31">
        <v>12</v>
      </c>
      <c r="G12" t="s">
        <v>124</v>
      </c>
    </row>
    <row r="13" spans="1:7" x14ac:dyDescent="0.3">
      <c r="A13" s="31">
        <v>1</v>
      </c>
      <c r="B13" s="31">
        <v>2</v>
      </c>
      <c r="C13" s="31">
        <v>3</v>
      </c>
      <c r="D13" s="31">
        <v>8</v>
      </c>
    </row>
    <row r="15" spans="1:7" ht="16.2" x14ac:dyDescent="0.35">
      <c r="A15" s="2" t="s">
        <v>67</v>
      </c>
      <c r="B15">
        <v>1</v>
      </c>
      <c r="C15" t="s">
        <v>68</v>
      </c>
      <c r="D15">
        <v>0</v>
      </c>
      <c r="E15" s="5" t="s">
        <v>71</v>
      </c>
    </row>
    <row r="17" spans="1:5" x14ac:dyDescent="0.3">
      <c r="A17" s="3" t="s">
        <v>72</v>
      </c>
    </row>
    <row r="18" spans="1:5" x14ac:dyDescent="0.3">
      <c r="A18" s="31">
        <v>1</v>
      </c>
      <c r="B18" s="31">
        <v>2</v>
      </c>
      <c r="C18" s="31">
        <v>3</v>
      </c>
      <c r="D18" s="31">
        <v>14</v>
      </c>
    </row>
    <row r="19" spans="1:5" x14ac:dyDescent="0.3">
      <c r="A19" s="31">
        <v>2</v>
      </c>
      <c r="B19" s="31">
        <v>4</v>
      </c>
      <c r="C19" s="31">
        <v>6</v>
      </c>
      <c r="D19" s="31">
        <v>28</v>
      </c>
    </row>
    <row r="20" spans="1:5" x14ac:dyDescent="0.3">
      <c r="A20" s="31">
        <v>3</v>
      </c>
      <c r="B20" s="31">
        <v>6</v>
      </c>
      <c r="C20" s="31">
        <v>9</v>
      </c>
      <c r="D20" s="31">
        <v>42</v>
      </c>
    </row>
    <row r="22" spans="1:5" ht="16.2" x14ac:dyDescent="0.35">
      <c r="A22" s="2" t="s">
        <v>67</v>
      </c>
      <c r="B22">
        <v>1</v>
      </c>
      <c r="C22" t="s">
        <v>68</v>
      </c>
      <c r="D22">
        <v>1</v>
      </c>
      <c r="E22" s="5" t="s">
        <v>73</v>
      </c>
    </row>
    <row r="27" spans="1:5" ht="18" x14ac:dyDescent="0.35">
      <c r="A27" s="48" t="s">
        <v>213</v>
      </c>
      <c r="B27" s="49"/>
      <c r="C27" s="49"/>
      <c r="D27" s="49"/>
    </row>
    <row r="30" spans="1:5" x14ac:dyDescent="0.3">
      <c r="B30" t="s">
        <v>141</v>
      </c>
    </row>
    <row r="31" spans="1:5" x14ac:dyDescent="0.3">
      <c r="B31" t="s">
        <v>226</v>
      </c>
    </row>
    <row r="32" spans="1:5" x14ac:dyDescent="0.3">
      <c r="B32" t="s">
        <v>227</v>
      </c>
    </row>
    <row r="33" spans="1:9" x14ac:dyDescent="0.3">
      <c r="B33" t="s">
        <v>228</v>
      </c>
    </row>
    <row r="35" spans="1:9" x14ac:dyDescent="0.3">
      <c r="B35" t="s">
        <v>152</v>
      </c>
      <c r="E35" t="s">
        <v>174</v>
      </c>
    </row>
    <row r="36" spans="1:9" x14ac:dyDescent="0.3">
      <c r="A36" s="31">
        <v>1</v>
      </c>
      <c r="B36" s="31">
        <v>2</v>
      </c>
      <c r="C36" s="31">
        <v>3</v>
      </c>
      <c r="E36" s="31">
        <v>14</v>
      </c>
    </row>
    <row r="37" spans="1:9" x14ac:dyDescent="0.3">
      <c r="A37" s="31">
        <v>2</v>
      </c>
      <c r="B37" s="31">
        <v>4</v>
      </c>
      <c r="C37" s="31">
        <v>6</v>
      </c>
      <c r="E37" s="31">
        <v>28</v>
      </c>
    </row>
    <row r="38" spans="1:9" x14ac:dyDescent="0.3">
      <c r="A38" s="31">
        <v>3</v>
      </c>
      <c r="B38" s="31">
        <v>6</v>
      </c>
      <c r="C38" s="31">
        <v>9</v>
      </c>
      <c r="E38" s="31">
        <v>42</v>
      </c>
    </row>
    <row r="41" spans="1:9" ht="18" x14ac:dyDescent="0.35">
      <c r="B41" t="s">
        <v>214</v>
      </c>
      <c r="C41" s="42">
        <f>MDETERM(A36:C38)</f>
        <v>0</v>
      </c>
      <c r="H41" s="28" t="s">
        <v>215</v>
      </c>
      <c r="I41" s="14" t="s">
        <v>346</v>
      </c>
    </row>
    <row r="43" spans="1:9" ht="18" x14ac:dyDescent="0.35">
      <c r="A43" s="31">
        <f t="shared" ref="A43:A45" si="0">E36</f>
        <v>14</v>
      </c>
      <c r="B43" s="31">
        <f t="shared" ref="B43:C45" si="1">B36</f>
        <v>2</v>
      </c>
      <c r="C43" s="31">
        <f t="shared" si="1"/>
        <v>3</v>
      </c>
      <c r="H43" s="14" t="s">
        <v>216</v>
      </c>
      <c r="I43" s="14" t="s">
        <v>218</v>
      </c>
    </row>
    <row r="44" spans="1:9" ht="18" x14ac:dyDescent="0.35">
      <c r="A44" s="31">
        <f t="shared" si="0"/>
        <v>28</v>
      </c>
      <c r="B44" s="31">
        <f t="shared" si="1"/>
        <v>4</v>
      </c>
      <c r="C44" s="31">
        <f t="shared" si="1"/>
        <v>6</v>
      </c>
      <c r="I44" s="14" t="s">
        <v>222</v>
      </c>
    </row>
    <row r="45" spans="1:9" x14ac:dyDescent="0.3">
      <c r="A45" s="31">
        <f t="shared" si="0"/>
        <v>42</v>
      </c>
      <c r="B45" s="31">
        <f t="shared" si="1"/>
        <v>6</v>
      </c>
      <c r="C45" s="31">
        <f t="shared" si="1"/>
        <v>9</v>
      </c>
    </row>
    <row r="46" spans="1:9" ht="18" x14ac:dyDescent="0.35">
      <c r="H46" s="28" t="s">
        <v>217</v>
      </c>
      <c r="I46" s="14" t="s">
        <v>221</v>
      </c>
    </row>
    <row r="47" spans="1:9" x14ac:dyDescent="0.3">
      <c r="B47" t="s">
        <v>223</v>
      </c>
      <c r="C47" s="42">
        <f>MDETERM(A43:C45)</f>
        <v>0</v>
      </c>
    </row>
    <row r="48" spans="1:9" ht="18" x14ac:dyDescent="0.35">
      <c r="H48" s="28" t="s">
        <v>219</v>
      </c>
      <c r="I48" s="14" t="s">
        <v>220</v>
      </c>
    </row>
    <row r="49" spans="1:5" x14ac:dyDescent="0.3">
      <c r="A49" s="31">
        <f t="shared" ref="A49:A51" si="2">A36</f>
        <v>1</v>
      </c>
      <c r="B49" s="31">
        <f t="shared" ref="B49:B51" si="3">E36</f>
        <v>14</v>
      </c>
      <c r="C49" s="31">
        <f t="shared" ref="C49:C51" si="4">C36</f>
        <v>3</v>
      </c>
    </row>
    <row r="50" spans="1:5" x14ac:dyDescent="0.3">
      <c r="A50" s="31">
        <f t="shared" si="2"/>
        <v>2</v>
      </c>
      <c r="B50" s="31">
        <f t="shared" si="3"/>
        <v>28</v>
      </c>
      <c r="C50" s="31">
        <f t="shared" si="4"/>
        <v>6</v>
      </c>
    </row>
    <row r="51" spans="1:5" x14ac:dyDescent="0.3">
      <c r="A51" s="31">
        <f t="shared" si="2"/>
        <v>3</v>
      </c>
      <c r="B51" s="31">
        <f t="shared" si="3"/>
        <v>42</v>
      </c>
      <c r="C51" s="31">
        <f t="shared" si="4"/>
        <v>9</v>
      </c>
    </row>
    <row r="53" spans="1:5" x14ac:dyDescent="0.3">
      <c r="B53" t="s">
        <v>224</v>
      </c>
      <c r="C53" s="42">
        <f>MDETERM(A49:C51)</f>
        <v>0</v>
      </c>
    </row>
    <row r="55" spans="1:5" x14ac:dyDescent="0.3">
      <c r="A55" s="31">
        <f t="shared" ref="A55:B57" si="5">A36</f>
        <v>1</v>
      </c>
      <c r="B55" s="31">
        <f t="shared" si="5"/>
        <v>2</v>
      </c>
      <c r="C55" s="31">
        <f t="shared" ref="C55:C57" si="6">E36</f>
        <v>14</v>
      </c>
    </row>
    <row r="56" spans="1:5" x14ac:dyDescent="0.3">
      <c r="A56" s="31">
        <f t="shared" si="5"/>
        <v>2</v>
      </c>
      <c r="B56" s="31">
        <f t="shared" si="5"/>
        <v>4</v>
      </c>
      <c r="C56" s="31">
        <f t="shared" si="6"/>
        <v>28</v>
      </c>
    </row>
    <row r="57" spans="1:5" x14ac:dyDescent="0.3">
      <c r="A57" s="31">
        <f t="shared" si="5"/>
        <v>3</v>
      </c>
      <c r="B57" s="31">
        <f t="shared" si="5"/>
        <v>6</v>
      </c>
      <c r="C57" s="31">
        <f t="shared" si="6"/>
        <v>42</v>
      </c>
    </row>
    <row r="60" spans="1:5" x14ac:dyDescent="0.3">
      <c r="B60" t="s">
        <v>225</v>
      </c>
      <c r="C60" s="42">
        <f>MDETERM(A55:C57)</f>
        <v>0</v>
      </c>
      <c r="E60" t="str">
        <f>IF(C41&lt;&gt;0,"Unique Solution",
   IF(AND(C47=0,C53=0,C60=0),"Infinitely Many Solutions",
   "No Solution"))</f>
        <v>Infinitely Many Solutions</v>
      </c>
    </row>
  </sheetData>
  <mergeCells count="1">
    <mergeCell ref="A27:D2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EA25-154F-461A-8066-D912368154C5}">
  <sheetPr codeName="Sheet9"/>
  <dimension ref="A1:N47"/>
  <sheetViews>
    <sheetView workbookViewId="0">
      <selection activeCell="I1" sqref="I1"/>
    </sheetView>
  </sheetViews>
  <sheetFormatPr defaultRowHeight="14.4" x14ac:dyDescent="0.3"/>
  <cols>
    <col min="1" max="1" width="27.44140625" customWidth="1"/>
    <col min="6" max="6" width="28.77734375" customWidth="1"/>
  </cols>
  <sheetData>
    <row r="1" spans="1:14" ht="19.8" x14ac:dyDescent="0.4">
      <c r="A1" s="26" t="s">
        <v>75</v>
      </c>
      <c r="F1" s="2" t="s">
        <v>86</v>
      </c>
      <c r="I1" s="45" t="s">
        <v>347</v>
      </c>
    </row>
    <row r="2" spans="1:14" x14ac:dyDescent="0.3">
      <c r="L2" s="70"/>
      <c r="M2" s="70"/>
      <c r="N2" s="70"/>
    </row>
    <row r="3" spans="1:14" x14ac:dyDescent="0.3">
      <c r="A3" s="3" t="s">
        <v>76</v>
      </c>
      <c r="F3" t="s">
        <v>126</v>
      </c>
      <c r="H3" t="s">
        <v>141</v>
      </c>
    </row>
    <row r="4" spans="1:14" x14ac:dyDescent="0.3">
      <c r="A4" t="s">
        <v>77</v>
      </c>
      <c r="F4" t="s">
        <v>127</v>
      </c>
      <c r="H4" t="s">
        <v>176</v>
      </c>
      <c r="J4" s="43">
        <v>27</v>
      </c>
      <c r="K4" s="38">
        <v>6</v>
      </c>
      <c r="L4" s="38">
        <v>-1</v>
      </c>
      <c r="N4" s="38">
        <v>85</v>
      </c>
    </row>
    <row r="5" spans="1:14" x14ac:dyDescent="0.3">
      <c r="A5" t="s">
        <v>78</v>
      </c>
      <c r="F5" t="s">
        <v>128</v>
      </c>
      <c r="H5" t="s">
        <v>177</v>
      </c>
      <c r="J5" s="38">
        <v>6</v>
      </c>
      <c r="K5" s="43">
        <v>15</v>
      </c>
      <c r="L5" s="38">
        <v>2</v>
      </c>
      <c r="N5" s="38">
        <v>72</v>
      </c>
    </row>
    <row r="6" spans="1:14" x14ac:dyDescent="0.3">
      <c r="A6" t="s">
        <v>79</v>
      </c>
      <c r="H6" t="s">
        <v>178</v>
      </c>
      <c r="J6" s="38">
        <v>1</v>
      </c>
      <c r="K6" s="38">
        <v>1</v>
      </c>
      <c r="L6" s="43">
        <v>54</v>
      </c>
      <c r="N6" s="38">
        <v>110</v>
      </c>
    </row>
    <row r="7" spans="1:14" x14ac:dyDescent="0.3">
      <c r="F7" s="3" t="s">
        <v>88</v>
      </c>
    </row>
    <row r="8" spans="1:14" x14ac:dyDescent="0.3">
      <c r="A8" s="3" t="s">
        <v>80</v>
      </c>
      <c r="F8" t="s">
        <v>89</v>
      </c>
      <c r="H8" t="s">
        <v>179</v>
      </c>
    </row>
    <row r="9" spans="1:14" x14ac:dyDescent="0.3">
      <c r="A9" s="31">
        <v>4</v>
      </c>
      <c r="B9" s="31">
        <v>1</v>
      </c>
      <c r="C9" s="31">
        <v>2</v>
      </c>
      <c r="D9" s="31">
        <v>16</v>
      </c>
      <c r="F9" t="s">
        <v>90</v>
      </c>
      <c r="H9" t="s">
        <v>180</v>
      </c>
    </row>
    <row r="10" spans="1:14" x14ac:dyDescent="0.3">
      <c r="A10" s="31">
        <v>1</v>
      </c>
      <c r="B10" s="31">
        <v>5</v>
      </c>
      <c r="C10" s="31">
        <v>1</v>
      </c>
      <c r="D10" s="31">
        <v>20</v>
      </c>
      <c r="H10" t="s">
        <v>181</v>
      </c>
    </row>
    <row r="11" spans="1:14" x14ac:dyDescent="0.3">
      <c r="A11" s="31">
        <v>2</v>
      </c>
      <c r="B11" s="31">
        <v>1</v>
      </c>
      <c r="C11" s="31">
        <v>8</v>
      </c>
      <c r="D11" s="31">
        <v>35</v>
      </c>
      <c r="F11" s="3" t="s">
        <v>91</v>
      </c>
      <c r="K11" s="11" t="s">
        <v>147</v>
      </c>
      <c r="L11" s="11" t="s">
        <v>148</v>
      </c>
      <c r="M11" s="11" t="s">
        <v>149</v>
      </c>
    </row>
    <row r="12" spans="1:14" x14ac:dyDescent="0.3">
      <c r="F12" t="s">
        <v>92</v>
      </c>
      <c r="J12" s="38">
        <v>0</v>
      </c>
      <c r="K12" s="38">
        <v>0</v>
      </c>
      <c r="L12" s="38">
        <v>0</v>
      </c>
      <c r="M12" s="38">
        <v>0</v>
      </c>
    </row>
    <row r="13" spans="1:14" x14ac:dyDescent="0.3">
      <c r="A13" s="3" t="s">
        <v>81</v>
      </c>
      <c r="F13" t="s">
        <v>93</v>
      </c>
      <c r="I13" s="31" t="s">
        <v>82</v>
      </c>
      <c r="J13" s="38">
        <v>1</v>
      </c>
      <c r="K13" s="38">
        <f>($N$4-$K$4*L12-$L$4*M12)/$J$4</f>
        <v>3.1481481481481484</v>
      </c>
      <c r="L13" s="38">
        <f>($N$5-$J$5*K13-$L$5*L12)/$K$5</f>
        <v>3.5407407407407407</v>
      </c>
      <c r="M13" s="38">
        <f>($N$6-$J$6*K13-$K$6*L13)/$L$6</f>
        <v>1.9131687242798352</v>
      </c>
    </row>
    <row r="14" spans="1:14" x14ac:dyDescent="0.3">
      <c r="A14" t="s">
        <v>82</v>
      </c>
      <c r="B14" t="s">
        <v>83</v>
      </c>
      <c r="C14" t="s">
        <v>84</v>
      </c>
      <c r="D14" t="s">
        <v>85</v>
      </c>
      <c r="F14" t="s">
        <v>94</v>
      </c>
      <c r="I14" s="31" t="s">
        <v>82</v>
      </c>
      <c r="J14" s="38">
        <v>2</v>
      </c>
      <c r="K14" s="38">
        <f t="shared" ref="K14:K22" si="0">($N$4-$K$4*L13-$L$4*M13)/$J$4</f>
        <v>2.4321749733272373</v>
      </c>
      <c r="L14" s="38">
        <f t="shared" ref="L14:L22" si="1">($N$5-$J$5*K14-$L$5*L13)/$K$5</f>
        <v>3.3550312452370061</v>
      </c>
      <c r="M14" s="38">
        <f t="shared" ref="M14:M22" si="2">($N$6-$J$6*K14-$K$6*L14)/$L$6</f>
        <v>1.9298665515080697</v>
      </c>
    </row>
    <row r="15" spans="1:14" x14ac:dyDescent="0.3">
      <c r="A15" s="31">
        <v>0</v>
      </c>
      <c r="B15" s="31">
        <v>0</v>
      </c>
      <c r="C15" s="31">
        <v>0</v>
      </c>
      <c r="D15" s="31">
        <v>0</v>
      </c>
      <c r="I15" s="31" t="s">
        <v>82</v>
      </c>
      <c r="J15" s="38">
        <v>3</v>
      </c>
      <c r="K15" s="38">
        <f t="shared" si="0"/>
        <v>2.4740621881513345</v>
      </c>
      <c r="L15" s="38">
        <f t="shared" si="1"/>
        <v>3.363037625374532</v>
      </c>
      <c r="M15" s="38">
        <f t="shared" si="2"/>
        <v>1.9289425960458173</v>
      </c>
    </row>
    <row r="16" spans="1:14" x14ac:dyDescent="0.3">
      <c r="A16" s="31">
        <v>1</v>
      </c>
      <c r="B16" s="31">
        <f>($D$9-$B$9*C15-$C$9*D15)/$A$9</f>
        <v>4</v>
      </c>
      <c r="C16" s="31">
        <f>($D$10-$A$10*B16-$C$10*D15)/$B$10</f>
        <v>3.2</v>
      </c>
      <c r="D16" s="31">
        <f>($D$11-$A$11*B16-$B$11*C16)/$C$11</f>
        <v>2.9750000000000001</v>
      </c>
      <c r="F16" s="3" t="s">
        <v>95</v>
      </c>
      <c r="I16" s="31" t="s">
        <v>82</v>
      </c>
      <c r="J16" s="38">
        <v>4</v>
      </c>
      <c r="K16" s="38">
        <f t="shared" si="0"/>
        <v>2.4722487719925419</v>
      </c>
      <c r="L16" s="38">
        <f t="shared" si="1"/>
        <v>3.3626954744863791</v>
      </c>
      <c r="M16" s="38">
        <f t="shared" si="2"/>
        <v>1.9289825139540941</v>
      </c>
    </row>
    <row r="17" spans="1:13" x14ac:dyDescent="0.3">
      <c r="A17" s="31">
        <v>2</v>
      </c>
      <c r="B17" s="31">
        <f>($D$9-$B$9*C16-$C$9*D16)/$A$9</f>
        <v>1.7125000000000001</v>
      </c>
      <c r="C17" s="31">
        <f>($D$10-$A$10*B17-$C$10*D16)/$B$10</f>
        <v>3.0625000000000004</v>
      </c>
      <c r="D17" s="31">
        <f>($D$11-$A$11*B17-$B$11*C17)/$C$11</f>
        <v>3.5640624999999999</v>
      </c>
      <c r="F17" t="s">
        <v>96</v>
      </c>
      <c r="I17" s="31" t="s">
        <v>82</v>
      </c>
      <c r="J17" s="38">
        <v>5</v>
      </c>
      <c r="K17" s="38">
        <f t="shared" si="0"/>
        <v>2.4723262839642897</v>
      </c>
      <c r="L17" s="38">
        <f t="shared" si="1"/>
        <v>3.3627100898160998</v>
      </c>
      <c r="M17" s="38">
        <f t="shared" si="2"/>
        <v>1.9289808078929556</v>
      </c>
    </row>
    <row r="18" spans="1:13" x14ac:dyDescent="0.3">
      <c r="A18" s="31">
        <v>3</v>
      </c>
      <c r="B18" s="31">
        <f>($D$9-$B$9*C17-$C$9*D17)/$A$9</f>
        <v>1.45234375</v>
      </c>
      <c r="C18" s="31">
        <f>($D$10-$A$10*B18-$C$10*D17)/$B$10</f>
        <v>2.9967187499999999</v>
      </c>
      <c r="D18" s="31">
        <f>($D$11-$A$11*B18-$B$11*C18)/$C$11</f>
        <v>3.6373242187499999</v>
      </c>
      <c r="F18" t="s">
        <v>97</v>
      </c>
      <c r="I18" s="31" t="s">
        <v>82</v>
      </c>
      <c r="J18" s="38">
        <v>6</v>
      </c>
      <c r="K18" s="38">
        <f t="shared" si="0"/>
        <v>2.4723229729257912</v>
      </c>
      <c r="L18" s="38">
        <f t="shared" si="1"/>
        <v>3.3627094655208705</v>
      </c>
      <c r="M18" s="38">
        <f t="shared" si="2"/>
        <v>1.9289808807695064</v>
      </c>
    </row>
    <row r="19" spans="1:13" x14ac:dyDescent="0.3">
      <c r="A19" s="31">
        <v>4</v>
      </c>
      <c r="B19" s="31">
        <f>($D$9-$B$9*C18-$C$9*D18)/$A$9</f>
        <v>1.4321582031250002</v>
      </c>
      <c r="C19" s="31">
        <f>($D$10-$A$10*B19-$C$10*D18)/$B$10</f>
        <v>2.9861035156250004</v>
      </c>
      <c r="D19" s="31">
        <f>($D$11-$A$11*B19-$B$11*C19)/$C$11</f>
        <v>3.6436975097656252</v>
      </c>
      <c r="F19" t="s">
        <v>98</v>
      </c>
      <c r="I19" s="31" t="s">
        <v>82</v>
      </c>
      <c r="J19" s="38">
        <v>7</v>
      </c>
      <c r="K19" s="38">
        <f t="shared" si="0"/>
        <v>2.4723231143571955</v>
      </c>
      <c r="L19" s="38">
        <f t="shared" si="1"/>
        <v>3.3627094921876721</v>
      </c>
      <c r="M19" s="38">
        <f t="shared" si="2"/>
        <v>1.9289808776565764</v>
      </c>
    </row>
    <row r="20" spans="1:13" x14ac:dyDescent="0.3">
      <c r="A20" s="31">
        <v>5</v>
      </c>
      <c r="B20" s="31">
        <f>($D$9-$B$9*C19-$C$9*D19)/$A$9</f>
        <v>1.4316253662109373</v>
      </c>
      <c r="C20" s="31">
        <f>($D$10-$A$10*B20-$C$10*D19)/$B$10</f>
        <v>2.9849354248046875</v>
      </c>
      <c r="D20" s="31">
        <f>($D$11-$A$11*B20-$B$11*C20)/$C$11</f>
        <v>3.6439767303466795</v>
      </c>
      <c r="I20" s="31" t="s">
        <v>82</v>
      </c>
      <c r="J20" s="38">
        <v>8</v>
      </c>
      <c r="K20" s="38">
        <f t="shared" si="0"/>
        <v>2.4723231083159458</v>
      </c>
      <c r="L20" s="38">
        <f t="shared" si="1"/>
        <v>3.3627094910485988</v>
      </c>
      <c r="M20" s="38">
        <f t="shared" si="2"/>
        <v>1.9289808777895454</v>
      </c>
    </row>
    <row r="21" spans="1:13" x14ac:dyDescent="0.3">
      <c r="I21" s="31" t="s">
        <v>82</v>
      </c>
      <c r="J21" s="38">
        <v>9</v>
      </c>
      <c r="K21" s="38">
        <f t="shared" si="0"/>
        <v>2.4723231085739976</v>
      </c>
      <c r="L21" s="38">
        <f t="shared" si="1"/>
        <v>3.3627094910972546</v>
      </c>
      <c r="M21" s="38">
        <f t="shared" si="2"/>
        <v>1.9289808777838657</v>
      </c>
    </row>
    <row r="22" spans="1:13" x14ac:dyDescent="0.3">
      <c r="F22" s="23" t="s">
        <v>211</v>
      </c>
      <c r="I22" s="31" t="s">
        <v>82</v>
      </c>
      <c r="J22" s="38">
        <v>10</v>
      </c>
      <c r="K22" s="38">
        <f t="shared" si="0"/>
        <v>2.4723231085629758</v>
      </c>
      <c r="L22" s="38">
        <f t="shared" si="1"/>
        <v>3.3627094910951754</v>
      </c>
      <c r="M22" s="38">
        <f t="shared" si="2"/>
        <v>1.9289808777841084</v>
      </c>
    </row>
    <row r="23" spans="1:13" x14ac:dyDescent="0.3">
      <c r="J23" s="11"/>
      <c r="K23" s="11"/>
      <c r="L23" s="11"/>
      <c r="M23" s="11"/>
    </row>
    <row r="24" spans="1:13" x14ac:dyDescent="0.3">
      <c r="J24" s="11"/>
      <c r="K24" s="11"/>
      <c r="L24" s="11"/>
      <c r="M24" s="11"/>
    </row>
    <row r="25" spans="1:13" x14ac:dyDescent="0.3">
      <c r="J25" s="11"/>
      <c r="K25" s="11"/>
      <c r="L25" s="11"/>
      <c r="M25" s="11"/>
    </row>
    <row r="47" spans="6:6" x14ac:dyDescent="0.3">
      <c r="F47" s="153" t="s">
        <v>348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4BAF-E5B1-4AFA-8BA0-7040F0D1CAD5}">
  <sheetPr codeName="Sheet11"/>
  <dimension ref="A1:O42"/>
  <sheetViews>
    <sheetView topLeftCell="A18" workbookViewId="0">
      <selection activeCell="F42" sqref="F42"/>
    </sheetView>
  </sheetViews>
  <sheetFormatPr defaultRowHeight="14.4" x14ac:dyDescent="0.3"/>
  <cols>
    <col min="1" max="1" width="27.5546875" customWidth="1"/>
    <col min="6" max="6" width="26.21875" customWidth="1"/>
  </cols>
  <sheetData>
    <row r="1" spans="1:15" ht="19.8" x14ac:dyDescent="0.4">
      <c r="A1" s="26" t="s">
        <v>99</v>
      </c>
      <c r="F1" s="8" t="s">
        <v>100</v>
      </c>
      <c r="H1" s="8"/>
      <c r="I1" s="162" t="s">
        <v>347</v>
      </c>
    </row>
    <row r="2" spans="1:15" x14ac:dyDescent="0.3">
      <c r="M2" s="70"/>
      <c r="N2" s="70"/>
    </row>
    <row r="3" spans="1:15" x14ac:dyDescent="0.3">
      <c r="A3" s="3" t="s">
        <v>76</v>
      </c>
      <c r="B3" s="3"/>
      <c r="F3" t="s">
        <v>87</v>
      </c>
      <c r="H3" s="4"/>
      <c r="I3" t="s">
        <v>141</v>
      </c>
    </row>
    <row r="4" spans="1:15" x14ac:dyDescent="0.3">
      <c r="A4" t="s">
        <v>77</v>
      </c>
      <c r="F4" t="s">
        <v>101</v>
      </c>
      <c r="I4" t="s">
        <v>176</v>
      </c>
      <c r="K4" s="43">
        <v>27</v>
      </c>
      <c r="L4" s="38">
        <v>6</v>
      </c>
      <c r="M4" s="38">
        <v>-1</v>
      </c>
      <c r="O4" s="38">
        <v>85</v>
      </c>
    </row>
    <row r="5" spans="1:15" x14ac:dyDescent="0.3">
      <c r="A5" t="s">
        <v>78</v>
      </c>
      <c r="F5" t="s">
        <v>102</v>
      </c>
      <c r="I5" t="s">
        <v>178</v>
      </c>
      <c r="K5" s="38">
        <v>6</v>
      </c>
      <c r="L5" s="43">
        <v>15</v>
      </c>
      <c r="M5" s="38">
        <v>2</v>
      </c>
      <c r="O5" s="38">
        <v>72</v>
      </c>
    </row>
    <row r="6" spans="1:15" x14ac:dyDescent="0.3">
      <c r="A6" t="s">
        <v>79</v>
      </c>
      <c r="I6" t="s">
        <v>177</v>
      </c>
      <c r="K6" s="38">
        <v>1</v>
      </c>
      <c r="L6" s="38">
        <v>1</v>
      </c>
      <c r="M6" s="43">
        <v>54</v>
      </c>
      <c r="O6" s="38">
        <v>110</v>
      </c>
    </row>
    <row r="7" spans="1:15" x14ac:dyDescent="0.3">
      <c r="F7" s="3" t="s">
        <v>88</v>
      </c>
    </row>
    <row r="8" spans="1:15" x14ac:dyDescent="0.3">
      <c r="A8" s="3" t="s">
        <v>80</v>
      </c>
      <c r="F8" t="s">
        <v>103</v>
      </c>
    </row>
    <row r="9" spans="1:15" x14ac:dyDescent="0.3">
      <c r="A9" s="31">
        <v>4</v>
      </c>
      <c r="B9" s="31">
        <v>1</v>
      </c>
      <c r="C9" s="31">
        <v>2</v>
      </c>
      <c r="D9" s="31">
        <v>16</v>
      </c>
      <c r="F9" t="s">
        <v>104</v>
      </c>
      <c r="J9" s="38"/>
      <c r="K9" s="38" t="s">
        <v>147</v>
      </c>
      <c r="L9" s="38" t="s">
        <v>148</v>
      </c>
      <c r="M9" s="38" t="s">
        <v>149</v>
      </c>
    </row>
    <row r="10" spans="1:15" x14ac:dyDescent="0.3">
      <c r="A10" s="31">
        <v>1</v>
      </c>
      <c r="B10" s="31">
        <v>5</v>
      </c>
      <c r="C10" s="31">
        <v>1</v>
      </c>
      <c r="D10" s="31">
        <v>20</v>
      </c>
      <c r="J10" s="38">
        <v>0</v>
      </c>
      <c r="K10" s="38">
        <v>0</v>
      </c>
      <c r="L10" s="38">
        <v>0</v>
      </c>
      <c r="M10" s="38">
        <v>0</v>
      </c>
    </row>
    <row r="11" spans="1:15" x14ac:dyDescent="0.3">
      <c r="A11" s="31">
        <v>2</v>
      </c>
      <c r="B11" s="31">
        <v>1</v>
      </c>
      <c r="C11" s="31">
        <v>8</v>
      </c>
      <c r="D11" s="31">
        <v>35</v>
      </c>
      <c r="F11" s="3" t="s">
        <v>105</v>
      </c>
      <c r="J11" s="38">
        <v>1</v>
      </c>
      <c r="K11" s="38">
        <f t="shared" ref="K11:K21" si="0">($O$4-$L$4*L10-$M$4*M10)/$K$4</f>
        <v>3.1481481481481484</v>
      </c>
      <c r="L11" s="38">
        <f t="shared" ref="L11:L21" si="1">($O$5-$K$5*K10-$M$5*M10)/$L$5</f>
        <v>4.8</v>
      </c>
      <c r="M11" s="38">
        <f t="shared" ref="M11:M21" si="2">($O$6-$K$6*K10-$L$6*L10)/$M$6</f>
        <v>2.0370370370370372</v>
      </c>
    </row>
    <row r="12" spans="1:15" x14ac:dyDescent="0.3">
      <c r="F12" t="s">
        <v>129</v>
      </c>
      <c r="J12" s="38">
        <v>2</v>
      </c>
      <c r="K12" s="38">
        <f t="shared" si="0"/>
        <v>2.1569272976680387</v>
      </c>
      <c r="L12" s="38">
        <f t="shared" si="1"/>
        <v>3.2691358024691359</v>
      </c>
      <c r="M12" s="38">
        <f t="shared" si="2"/>
        <v>1.8898491083676268</v>
      </c>
    </row>
    <row r="13" spans="1:15" x14ac:dyDescent="0.3">
      <c r="A13" s="3" t="s">
        <v>81</v>
      </c>
      <c r="F13" t="s">
        <v>130</v>
      </c>
      <c r="J13" s="38">
        <v>3</v>
      </c>
      <c r="K13" s="38">
        <f t="shared" si="0"/>
        <v>2.4916679367982519</v>
      </c>
      <c r="L13" s="38">
        <f t="shared" si="1"/>
        <v>3.6852491998171009</v>
      </c>
      <c r="M13" s="38">
        <f t="shared" si="2"/>
        <v>1.9365543870344968</v>
      </c>
    </row>
    <row r="14" spans="1:15" x14ac:dyDescent="0.3">
      <c r="A14" t="s">
        <v>82</v>
      </c>
      <c r="B14" t="s">
        <v>83</v>
      </c>
      <c r="C14" t="s">
        <v>84</v>
      </c>
      <c r="D14" t="s">
        <v>85</v>
      </c>
      <c r="F14" t="s">
        <v>106</v>
      </c>
      <c r="J14" s="38">
        <v>4</v>
      </c>
      <c r="K14" s="38">
        <f t="shared" si="0"/>
        <v>2.400928118078959</v>
      </c>
      <c r="L14" s="38">
        <f t="shared" si="1"/>
        <v>3.5451255736760996</v>
      </c>
      <c r="M14" s="38">
        <f t="shared" si="2"/>
        <v>1.922649682655271</v>
      </c>
    </row>
    <row r="15" spans="1:15" x14ac:dyDescent="0.3">
      <c r="A15" s="31">
        <v>0</v>
      </c>
      <c r="B15" s="31">
        <v>0</v>
      </c>
      <c r="C15" s="31">
        <v>0</v>
      </c>
      <c r="D15" s="31">
        <v>0</v>
      </c>
      <c r="J15" s="38">
        <v>5</v>
      </c>
      <c r="K15" s="38">
        <f t="shared" si="0"/>
        <v>2.4315517126147657</v>
      </c>
      <c r="L15" s="38">
        <f t="shared" si="1"/>
        <v>3.5832754617477134</v>
      </c>
      <c r="M15" s="38">
        <f t="shared" si="2"/>
        <v>1.9269249316341654</v>
      </c>
    </row>
    <row r="16" spans="1:15" x14ac:dyDescent="0.3">
      <c r="A16" s="31">
        <v>1</v>
      </c>
      <c r="B16" s="31">
        <f>($D$9-$B$9*C15-$C$9*D15)/$A$9</f>
        <v>4</v>
      </c>
      <c r="C16" s="31">
        <f>($D$10-$A$10*B15-$C$10*D15)/$B$10</f>
        <v>4</v>
      </c>
      <c r="D16" s="31">
        <f>($D$11-$A$11*B15-$B$11*C15)/$C$11</f>
        <v>4.375</v>
      </c>
      <c r="F16" s="3" t="s">
        <v>107</v>
      </c>
      <c r="J16" s="38">
        <v>6</v>
      </c>
      <c r="K16" s="38">
        <f t="shared" si="0"/>
        <v>2.4232323022647364</v>
      </c>
      <c r="L16" s="38">
        <f t="shared" si="1"/>
        <v>3.5704559907362055</v>
      </c>
      <c r="M16" s="38">
        <f t="shared" si="2"/>
        <v>1.925651348622917</v>
      </c>
    </row>
    <row r="17" spans="1:13" x14ac:dyDescent="0.3">
      <c r="A17" s="31">
        <v>2</v>
      </c>
      <c r="B17" s="31">
        <f>($D$9-$B$9*C16-$C$9*D16)/$A$9</f>
        <v>0.8125</v>
      </c>
      <c r="C17" s="31">
        <f>($D$10-$A$10*B16-$C$10*D16)/$B$10</f>
        <v>2.3250000000000002</v>
      </c>
      <c r="D17" s="31">
        <f>($D$11-$A$11*B16-$B$11*C16)/$C$11</f>
        <v>2.875</v>
      </c>
      <c r="F17" t="s">
        <v>108</v>
      </c>
      <c r="J17" s="38">
        <v>7</v>
      </c>
      <c r="K17" s="38">
        <f t="shared" si="0"/>
        <v>2.4260339038594698</v>
      </c>
      <c r="L17" s="38">
        <f t="shared" si="1"/>
        <v>3.5739535659443833</v>
      </c>
      <c r="M17" s="38">
        <f t="shared" si="2"/>
        <v>1.9260428093888715</v>
      </c>
    </row>
    <row r="18" spans="1:13" x14ac:dyDescent="0.3">
      <c r="A18" s="31">
        <v>3</v>
      </c>
      <c r="B18" s="31">
        <f>($D$9-$B$9*C17-$C$9*D17)/$A$9</f>
        <v>1.9812500000000002</v>
      </c>
      <c r="C18" s="31">
        <f>($D$10-$A$10*B17-$C$10*D17)/$B$10</f>
        <v>3.2625000000000002</v>
      </c>
      <c r="D18" s="31">
        <f>($D$11-$A$11*B17-$B$11*C17)/$C$11</f>
        <v>3.8812500000000001</v>
      </c>
      <c r="F18" t="s">
        <v>109</v>
      </c>
      <c r="J18" s="38">
        <v>8</v>
      </c>
      <c r="K18" s="38">
        <f t="shared" si="0"/>
        <v>2.4252711634712063</v>
      </c>
      <c r="L18" s="38">
        <f t="shared" si="1"/>
        <v>3.572780730537696</v>
      </c>
      <c r="M18" s="38">
        <f t="shared" si="2"/>
        <v>1.9259261579665952</v>
      </c>
    </row>
    <row r="19" spans="1:13" x14ac:dyDescent="0.3">
      <c r="A19" s="31">
        <v>4</v>
      </c>
      <c r="B19" s="31">
        <f>($D$9-$B$9*C18-$C$9*D18)/$A$9</f>
        <v>1.2437500000000001</v>
      </c>
      <c r="C19" s="31">
        <f>($D$10-$A$10*B18-$C$10*D18)/$B$10</f>
        <v>2.8275000000000001</v>
      </c>
      <c r="D19" s="31">
        <f>($D$11-$A$11*B18-$B$11*C18)/$C$11</f>
        <v>3.4718750000000003</v>
      </c>
      <c r="F19" t="s">
        <v>110</v>
      </c>
      <c r="J19" s="38">
        <v>9</v>
      </c>
      <c r="K19" s="38">
        <f t="shared" si="0"/>
        <v>2.4255274731385339</v>
      </c>
      <c r="L19" s="38">
        <f t="shared" si="1"/>
        <v>3.5731013802159715</v>
      </c>
      <c r="M19" s="38">
        <f t="shared" si="2"/>
        <v>1.9259620019627979</v>
      </c>
    </row>
    <row r="20" spans="1:13" x14ac:dyDescent="0.3">
      <c r="A20" s="31">
        <v>5</v>
      </c>
      <c r="B20" s="31">
        <f>($D$9-$B$9*C19-$C$9*D19)/$A$9</f>
        <v>1.5571874999999997</v>
      </c>
      <c r="C20" s="31">
        <f>($D$10-$A$10*B19-$C$10*D19)/$B$10</f>
        <v>3.0568750000000002</v>
      </c>
      <c r="D20" s="31">
        <f>($D$11-$A$11*B19-$B$11*C19)/$C$11</f>
        <v>3.7106250000000003</v>
      </c>
      <c r="J20" s="38">
        <v>10</v>
      </c>
      <c r="K20" s="38">
        <f t="shared" si="0"/>
        <v>2.4254575452098881</v>
      </c>
      <c r="L20" s="38">
        <f t="shared" si="1"/>
        <v>3.5729940771495463</v>
      </c>
      <c r="M20" s="38">
        <f t="shared" si="2"/>
        <v>1.9259513175304721</v>
      </c>
    </row>
    <row r="21" spans="1:13" x14ac:dyDescent="0.3">
      <c r="J21" s="38">
        <v>11</v>
      </c>
      <c r="K21" s="38">
        <f t="shared" si="0"/>
        <v>2.4254809946160441</v>
      </c>
      <c r="L21" s="38">
        <f t="shared" si="1"/>
        <v>3.5730234729119821</v>
      </c>
      <c r="M21" s="38">
        <f t="shared" si="2"/>
        <v>1.9259545995859364</v>
      </c>
    </row>
    <row r="24" spans="1:13" x14ac:dyDescent="0.3">
      <c r="F24" s="23" t="s">
        <v>210</v>
      </c>
    </row>
    <row r="42" spans="6:6" x14ac:dyDescent="0.3">
      <c r="F42" s="153" t="s">
        <v>348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B277-8FB7-4F5B-AA3B-61BC123AC590}">
  <sheetPr codeName="Sheet1"/>
  <dimension ref="A1:V124"/>
  <sheetViews>
    <sheetView topLeftCell="A84" workbookViewId="0">
      <selection activeCell="B13" sqref="B13:C14"/>
    </sheetView>
  </sheetViews>
  <sheetFormatPr defaultRowHeight="14.4" x14ac:dyDescent="0.3"/>
  <sheetData>
    <row r="1" spans="1:22" ht="18" x14ac:dyDescent="0.35">
      <c r="A1" s="20" t="s">
        <v>193</v>
      </c>
      <c r="B1" s="19"/>
      <c r="C1" s="19"/>
    </row>
    <row r="3" spans="1:22" x14ac:dyDescent="0.3">
      <c r="A3" s="21" t="s">
        <v>334</v>
      </c>
      <c r="B3" s="21"/>
      <c r="C3" s="21"/>
      <c r="O3" t="s">
        <v>192</v>
      </c>
    </row>
    <row r="4" spans="1:22" x14ac:dyDescent="0.3">
      <c r="O4" s="16">
        <v>2</v>
      </c>
      <c r="P4" s="13">
        <v>1</v>
      </c>
    </row>
    <row r="5" spans="1:22" x14ac:dyDescent="0.3">
      <c r="A5" t="s">
        <v>331</v>
      </c>
      <c r="O5" s="16">
        <v>1</v>
      </c>
      <c r="P5" s="13">
        <v>2</v>
      </c>
    </row>
    <row r="7" spans="1:22" x14ac:dyDescent="0.3">
      <c r="B7" s="38">
        <v>2</v>
      </c>
      <c r="C7" s="38">
        <v>1</v>
      </c>
      <c r="D7" t="s">
        <v>280</v>
      </c>
      <c r="E7" t="s">
        <v>279</v>
      </c>
      <c r="F7" s="38">
        <v>1</v>
      </c>
      <c r="G7" s="38">
        <v>0</v>
      </c>
      <c r="I7" t="s">
        <v>151</v>
      </c>
      <c r="J7">
        <v>0</v>
      </c>
      <c r="O7" s="24" t="s">
        <v>191</v>
      </c>
      <c r="Q7" s="24" t="s">
        <v>190</v>
      </c>
      <c r="R7">
        <f>O4+P5</f>
        <v>4</v>
      </c>
    </row>
    <row r="8" spans="1:22" x14ac:dyDescent="0.3">
      <c r="B8" s="38">
        <v>3</v>
      </c>
      <c r="C8" s="38">
        <v>5</v>
      </c>
      <c r="F8" s="38">
        <v>0</v>
      </c>
      <c r="G8" s="38">
        <v>1</v>
      </c>
      <c r="O8">
        <v>6</v>
      </c>
      <c r="Q8" s="24" t="s">
        <v>189</v>
      </c>
      <c r="R8">
        <f>O4*P5 - P4*O5</f>
        <v>3</v>
      </c>
      <c r="U8" s="24" t="s">
        <v>188</v>
      </c>
      <c r="V8" s="24" t="s">
        <v>187</v>
      </c>
    </row>
    <row r="9" spans="1:22" x14ac:dyDescent="0.3">
      <c r="Q9" s="24" t="s">
        <v>186</v>
      </c>
      <c r="R9">
        <f>R7^2 - 4*R8</f>
        <v>4</v>
      </c>
      <c r="U9">
        <f>(R7+SQRT(R9))/2</f>
        <v>3</v>
      </c>
      <c r="V9">
        <f>(R7-SQRT(R9))/2</f>
        <v>1</v>
      </c>
    </row>
    <row r="10" spans="1:22" x14ac:dyDescent="0.3">
      <c r="B10" s="38">
        <f>B7</f>
        <v>2</v>
      </c>
      <c r="C10" s="38">
        <f>C7</f>
        <v>1</v>
      </c>
      <c r="D10" t="s">
        <v>280</v>
      </c>
      <c r="E10" s="38" t="s">
        <v>279</v>
      </c>
      <c r="F10" s="38">
        <v>0</v>
      </c>
      <c r="H10" t="s">
        <v>151</v>
      </c>
      <c r="I10">
        <v>0</v>
      </c>
    </row>
    <row r="11" spans="1:22" x14ac:dyDescent="0.3">
      <c r="B11" s="38">
        <f>B8</f>
        <v>3</v>
      </c>
      <c r="C11" s="38">
        <f>C8</f>
        <v>5</v>
      </c>
      <c r="E11" s="38">
        <v>0</v>
      </c>
      <c r="F11" s="38" t="s">
        <v>279</v>
      </c>
    </row>
    <row r="12" spans="1:22" x14ac:dyDescent="0.3">
      <c r="O12" s="25" t="s">
        <v>212</v>
      </c>
      <c r="P12" s="18"/>
    </row>
    <row r="13" spans="1:22" x14ac:dyDescent="0.3">
      <c r="B13" s="38" t="str">
        <f>B10&amp;"-"&amp;E10</f>
        <v>2-λ</v>
      </c>
      <c r="C13" s="38">
        <f>C10-F10</f>
        <v>1</v>
      </c>
      <c r="E13" t="s">
        <v>151</v>
      </c>
      <c r="F13">
        <v>0</v>
      </c>
      <c r="O13" s="16">
        <f>IF(ABS(P4)&gt;0.000000000001,1,IF(ABS(O5)&gt;0.000000000001,-(P5-U9)/O5,1))</f>
        <v>1</v>
      </c>
      <c r="P13" s="13">
        <f>IF(ABS(P4)&gt;0.000000000001,-(O4-U9)/P4,IF(ABS(O5)&gt;0.000000000001,1,0))</f>
        <v>1</v>
      </c>
    </row>
    <row r="14" spans="1:22" x14ac:dyDescent="0.3">
      <c r="B14" s="38">
        <f>B11-E11</f>
        <v>3</v>
      </c>
      <c r="C14" s="38" t="str">
        <f>C11&amp;"-"&amp;F11</f>
        <v>5-λ</v>
      </c>
      <c r="O14" s="16">
        <f>IF(ABS(P4)&gt;0.000000000001,1,IF(ABS(O5)&gt;0.000000000001,-(P5-V9)/O5,1))</f>
        <v>1</v>
      </c>
      <c r="P14" s="13">
        <f>IF(ABS(P4)&gt;0.000000000001,-(O4-V9)/P4,IF(ABS(O5)&gt;0.000000000001,1,0))</f>
        <v>-1</v>
      </c>
    </row>
    <row r="16" spans="1:22" x14ac:dyDescent="0.3">
      <c r="A16" t="s">
        <v>330</v>
      </c>
      <c r="B16" t="str">
        <f>"("&amp;B13&amp;")"&amp;"("&amp;C14&amp;")"</f>
        <v>(2-λ)(5-λ)</v>
      </c>
      <c r="C16" t="s">
        <v>280</v>
      </c>
      <c r="D16">
        <f>B14*C13</f>
        <v>3</v>
      </c>
      <c r="E16" t="s">
        <v>151</v>
      </c>
      <c r="F16">
        <v>0</v>
      </c>
    </row>
    <row r="18" spans="1:19" x14ac:dyDescent="0.3">
      <c r="A18" s="42" t="s">
        <v>329</v>
      </c>
      <c r="B18" s="42"/>
      <c r="C18" s="42"/>
      <c r="D18" s="42"/>
    </row>
    <row r="19" spans="1:19" x14ac:dyDescent="0.3">
      <c r="O19" s="24" t="s">
        <v>185</v>
      </c>
    </row>
    <row r="20" spans="1:19" x14ac:dyDescent="0.3">
      <c r="A20" s="40" t="s">
        <v>321</v>
      </c>
      <c r="B20" s="66"/>
      <c r="C20" s="39"/>
      <c r="O20" s="16">
        <f>P14/S21</f>
        <v>0.5</v>
      </c>
      <c r="P20" s="13">
        <f>-O14/S21</f>
        <v>0.5</v>
      </c>
    </row>
    <row r="21" spans="1:19" x14ac:dyDescent="0.3">
      <c r="A21" s="40" t="s">
        <v>320</v>
      </c>
      <c r="B21" s="66" t="s">
        <v>151</v>
      </c>
      <c r="C21" s="39">
        <v>1</v>
      </c>
      <c r="O21" s="16">
        <f>-P13/S21</f>
        <v>0.5</v>
      </c>
      <c r="P21" s="13">
        <f>O13/S21</f>
        <v>-0.5</v>
      </c>
      <c r="R21" s="25" t="s">
        <v>184</v>
      </c>
      <c r="S21">
        <f>O13*P14 - O14*P13</f>
        <v>-2</v>
      </c>
    </row>
    <row r="22" spans="1:19" x14ac:dyDescent="0.3">
      <c r="A22" s="9" t="s">
        <v>319</v>
      </c>
      <c r="B22" s="62" t="s">
        <v>151</v>
      </c>
      <c r="C22" s="10">
        <f>(B10*(-1))+(C11*(-1))</f>
        <v>-7</v>
      </c>
    </row>
    <row r="23" spans="1:19" x14ac:dyDescent="0.3">
      <c r="A23" s="37" t="s">
        <v>318</v>
      </c>
      <c r="B23" s="33" t="s">
        <v>151</v>
      </c>
      <c r="C23" s="32">
        <f>(B10*C11)-D16</f>
        <v>7</v>
      </c>
    </row>
    <row r="24" spans="1:19" x14ac:dyDescent="0.3">
      <c r="O24" s="25" t="s">
        <v>183</v>
      </c>
    </row>
    <row r="25" spans="1:19" x14ac:dyDescent="0.3">
      <c r="A25" t="s">
        <v>327</v>
      </c>
      <c r="O25" s="16">
        <f>U9^$O$8</f>
        <v>729</v>
      </c>
      <c r="P25" s="13">
        <v>0</v>
      </c>
    </row>
    <row r="26" spans="1:19" x14ac:dyDescent="0.3">
      <c r="O26" s="16">
        <v>0</v>
      </c>
      <c r="P26" s="13">
        <f>V9^$O$8</f>
        <v>1</v>
      </c>
    </row>
    <row r="28" spans="1:19" x14ac:dyDescent="0.3">
      <c r="O28" s="25" t="s">
        <v>182</v>
      </c>
    </row>
    <row r="29" spans="1:19" x14ac:dyDescent="0.3">
      <c r="A29" s="40" t="s">
        <v>325</v>
      </c>
      <c r="B29" s="66" t="s">
        <v>151</v>
      </c>
      <c r="C29" s="39">
        <f>(-C22+SQRT(C22^2-4*C21*C23))/(2*C21)</f>
        <v>5.7912878474779195</v>
      </c>
    </row>
    <row r="30" spans="1:19" x14ac:dyDescent="0.3">
      <c r="A30" s="37" t="s">
        <v>324</v>
      </c>
      <c r="B30" s="33" t="s">
        <v>151</v>
      </c>
      <c r="C30" s="32">
        <f>(-C22-SQRT(C22^2-4*C21*C23))/(2*C21)</f>
        <v>1.2087121525220801</v>
      </c>
      <c r="O30">
        <f>MMULT(MMULT(O13:P14,O25:P26),O20:P21)</f>
        <v>365</v>
      </c>
    </row>
    <row r="32" spans="1:19" x14ac:dyDescent="0.3">
      <c r="A32" s="21" t="s">
        <v>335</v>
      </c>
      <c r="B32" s="21"/>
      <c r="C32" s="21"/>
    </row>
    <row r="34" spans="1:6" x14ac:dyDescent="0.3">
      <c r="A34" t="s">
        <v>336</v>
      </c>
    </row>
    <row r="38" spans="1:6" x14ac:dyDescent="0.3">
      <c r="A38" s="63" t="str">
        <f>B13</f>
        <v>2-λ</v>
      </c>
      <c r="B38" s="64">
        <f>C13</f>
        <v>1</v>
      </c>
      <c r="C38" t="s">
        <v>233</v>
      </c>
      <c r="D38" s="31" t="s">
        <v>83</v>
      </c>
      <c r="E38" t="s">
        <v>151</v>
      </c>
      <c r="F38">
        <v>0</v>
      </c>
    </row>
    <row r="39" spans="1:6" x14ac:dyDescent="0.3">
      <c r="A39" s="34">
        <f>B14</f>
        <v>3</v>
      </c>
      <c r="B39" s="65" t="str">
        <f>C14</f>
        <v>5-λ</v>
      </c>
      <c r="D39" s="31" t="s">
        <v>84</v>
      </c>
    </row>
    <row r="40" spans="1:6" x14ac:dyDescent="0.3">
      <c r="D40" s="68"/>
    </row>
    <row r="41" spans="1:6" x14ac:dyDescent="0.3">
      <c r="A41" s="21" t="s">
        <v>337</v>
      </c>
      <c r="B41" s="21"/>
      <c r="C41" s="21"/>
    </row>
    <row r="43" spans="1:6" x14ac:dyDescent="0.3">
      <c r="A43" s="63">
        <f>B7-C29</f>
        <v>-3.7912878474779195</v>
      </c>
      <c r="B43" s="64">
        <f>B38</f>
        <v>1</v>
      </c>
      <c r="C43" t="s">
        <v>233</v>
      </c>
      <c r="D43" s="38" t="s">
        <v>83</v>
      </c>
      <c r="E43" t="s">
        <v>151</v>
      </c>
      <c r="F43">
        <v>0</v>
      </c>
    </row>
    <row r="44" spans="1:6" x14ac:dyDescent="0.3">
      <c r="A44" s="34">
        <f>A39</f>
        <v>3</v>
      </c>
      <c r="B44" s="65">
        <f>C8-C29</f>
        <v>-0.79128784747791947</v>
      </c>
      <c r="D44" s="38" t="s">
        <v>84</v>
      </c>
    </row>
    <row r="46" spans="1:6" x14ac:dyDescent="0.3">
      <c r="A46" t="s">
        <v>312</v>
      </c>
    </row>
    <row r="48" spans="1:6" x14ac:dyDescent="0.3">
      <c r="A48" t="str">
        <f>A43&amp;D43</f>
        <v>-3.79128784747792x</v>
      </c>
      <c r="B48" t="s">
        <v>311</v>
      </c>
      <c r="C48" t="str">
        <f>B43&amp;D44</f>
        <v>1y</v>
      </c>
      <c r="D48" t="s">
        <v>151</v>
      </c>
      <c r="E48">
        <v>0</v>
      </c>
    </row>
    <row r="50" spans="1:6" x14ac:dyDescent="0.3">
      <c r="A50" t="str">
        <f>A48</f>
        <v>-3.79128784747792x</v>
      </c>
      <c r="B50" t="s">
        <v>151</v>
      </c>
      <c r="C50" t="str">
        <f>"-"&amp;C48</f>
        <v>-1y</v>
      </c>
    </row>
    <row r="52" spans="1:6" x14ac:dyDescent="0.3">
      <c r="A52" t="str">
        <f>D43</f>
        <v>x</v>
      </c>
      <c r="B52" t="s">
        <v>151</v>
      </c>
      <c r="C52" t="str">
        <f>B44/A43&amp;D44</f>
        <v>0.20871215252208y</v>
      </c>
    </row>
    <row r="54" spans="1:6" x14ac:dyDescent="0.3">
      <c r="A54" t="s">
        <v>156</v>
      </c>
      <c r="B54" t="s">
        <v>151</v>
      </c>
      <c r="C54" s="67">
        <f>B44/A43</f>
        <v>0.20871215252207989</v>
      </c>
    </row>
    <row r="55" spans="1:6" x14ac:dyDescent="0.3">
      <c r="C55" s="68">
        <v>1</v>
      </c>
    </row>
    <row r="57" spans="1:6" x14ac:dyDescent="0.3">
      <c r="A57" s="21" t="s">
        <v>338</v>
      </c>
      <c r="B57" s="21"/>
      <c r="C57" s="21"/>
    </row>
    <row r="59" spans="1:6" x14ac:dyDescent="0.3">
      <c r="A59" s="63">
        <f>B10-C30</f>
        <v>0.79128784747791991</v>
      </c>
      <c r="B59" s="64">
        <f>B38</f>
        <v>1</v>
      </c>
      <c r="C59" t="s">
        <v>233</v>
      </c>
      <c r="D59" t="s">
        <v>83</v>
      </c>
      <c r="E59" t="s">
        <v>151</v>
      </c>
      <c r="F59">
        <v>0</v>
      </c>
    </row>
    <row r="60" spans="1:6" x14ac:dyDescent="0.3">
      <c r="A60" s="34">
        <f>A39</f>
        <v>3</v>
      </c>
      <c r="B60" s="65">
        <f>C11-C30</f>
        <v>3.7912878474779199</v>
      </c>
      <c r="D60" t="s">
        <v>84</v>
      </c>
    </row>
    <row r="62" spans="1:6" x14ac:dyDescent="0.3">
      <c r="A62" t="s">
        <v>312</v>
      </c>
    </row>
    <row r="64" spans="1:6" x14ac:dyDescent="0.3">
      <c r="A64" t="str">
        <f>A59&amp;D59</f>
        <v>0.79128784747792x</v>
      </c>
      <c r="B64" t="s">
        <v>311</v>
      </c>
      <c r="C64" t="str">
        <f>B59&amp;D60</f>
        <v>1y</v>
      </c>
      <c r="D64" t="s">
        <v>151</v>
      </c>
      <c r="E64">
        <v>0</v>
      </c>
    </row>
    <row r="66" spans="1:6" x14ac:dyDescent="0.3">
      <c r="A66" t="str">
        <f>A64</f>
        <v>0.79128784747792x</v>
      </c>
      <c r="B66" t="s">
        <v>151</v>
      </c>
      <c r="C66" t="str">
        <f>"-"&amp;C64</f>
        <v>-1y</v>
      </c>
    </row>
    <row r="68" spans="1:6" x14ac:dyDescent="0.3">
      <c r="A68" t="str">
        <f>D59</f>
        <v>x</v>
      </c>
      <c r="B68" t="s">
        <v>151</v>
      </c>
      <c r="C68" t="str">
        <f>C66</f>
        <v>-1y</v>
      </c>
    </row>
    <row r="70" spans="1:6" x14ac:dyDescent="0.3">
      <c r="A70" t="s">
        <v>157</v>
      </c>
      <c r="B70" t="s">
        <v>151</v>
      </c>
      <c r="C70" s="31">
        <f>-B59</f>
        <v>-1</v>
      </c>
    </row>
    <row r="71" spans="1:6" x14ac:dyDescent="0.3">
      <c r="C71" s="31">
        <v>1</v>
      </c>
    </row>
    <row r="73" spans="1:6" x14ac:dyDescent="0.3">
      <c r="A73" s="21" t="s">
        <v>306</v>
      </c>
      <c r="B73" s="21"/>
      <c r="C73" s="21"/>
    </row>
    <row r="75" spans="1:6" x14ac:dyDescent="0.3">
      <c r="A75" s="21" t="s">
        <v>255</v>
      </c>
      <c r="B75" s="21"/>
      <c r="C75" s="21"/>
      <c r="D75" s="21"/>
      <c r="E75" s="21"/>
      <c r="F75" s="21"/>
    </row>
    <row r="77" spans="1:6" x14ac:dyDescent="0.3">
      <c r="A77" s="21" t="s">
        <v>254</v>
      </c>
      <c r="B77" s="21"/>
      <c r="C77" s="21"/>
      <c r="D77" s="21"/>
      <c r="E77" s="21"/>
      <c r="F77" s="21"/>
    </row>
    <row r="81" spans="1:11" x14ac:dyDescent="0.3">
      <c r="A81" t="s">
        <v>253</v>
      </c>
      <c r="B81" t="s">
        <v>252</v>
      </c>
    </row>
    <row r="82" spans="1:11" x14ac:dyDescent="0.3">
      <c r="B82" t="s">
        <v>251</v>
      </c>
    </row>
    <row r="83" spans="1:11" x14ac:dyDescent="0.3">
      <c r="B83" t="s">
        <v>250</v>
      </c>
    </row>
    <row r="84" spans="1:11" x14ac:dyDescent="0.3">
      <c r="B84" t="s">
        <v>249</v>
      </c>
    </row>
    <row r="86" spans="1:11" ht="18" x14ac:dyDescent="0.35">
      <c r="A86" t="s">
        <v>248</v>
      </c>
      <c r="B86" s="31">
        <f>B7</f>
        <v>2</v>
      </c>
      <c r="C86" s="31">
        <f>C7</f>
        <v>1</v>
      </c>
      <c r="G86" s="69" t="s">
        <v>247</v>
      </c>
    </row>
    <row r="87" spans="1:11" x14ac:dyDescent="0.3">
      <c r="B87" s="31">
        <f>B8</f>
        <v>3</v>
      </c>
      <c r="C87" s="31">
        <f>C8</f>
        <v>5</v>
      </c>
      <c r="F87" s="40"/>
      <c r="G87" s="66"/>
      <c r="H87" s="66"/>
      <c r="I87" s="66"/>
      <c r="J87" s="66"/>
      <c r="K87" s="39"/>
    </row>
    <row r="88" spans="1:11" x14ac:dyDescent="0.3">
      <c r="F88" s="9"/>
      <c r="G88" s="62" t="s">
        <v>235</v>
      </c>
      <c r="H88" s="62" t="s">
        <v>151</v>
      </c>
      <c r="I88" s="31">
        <f>B91</f>
        <v>0.20871215252207989</v>
      </c>
      <c r="J88" s="31">
        <f>C91</f>
        <v>-1</v>
      </c>
      <c r="K88" s="10"/>
    </row>
    <row r="89" spans="1:11" x14ac:dyDescent="0.3">
      <c r="A89" t="s">
        <v>246</v>
      </c>
      <c r="B89" t="s">
        <v>245</v>
      </c>
      <c r="C89" t="s">
        <v>151</v>
      </c>
      <c r="D89">
        <v>3</v>
      </c>
      <c r="F89" s="9"/>
      <c r="G89" s="62"/>
      <c r="H89" s="62"/>
      <c r="I89" s="31">
        <f>B92</f>
        <v>1</v>
      </c>
      <c r="J89" s="31">
        <f>C92</f>
        <v>1</v>
      </c>
      <c r="K89" s="10"/>
    </row>
    <row r="90" spans="1:11" x14ac:dyDescent="0.3">
      <c r="F90" s="9"/>
      <c r="G90" s="62"/>
      <c r="H90" s="62"/>
      <c r="I90" s="62"/>
      <c r="J90" s="62"/>
      <c r="K90" s="10"/>
    </row>
    <row r="91" spans="1:11" x14ac:dyDescent="0.3">
      <c r="A91" t="s">
        <v>235</v>
      </c>
      <c r="B91" s="31">
        <f>C54</f>
        <v>0.20871215252207989</v>
      </c>
      <c r="C91" s="31">
        <f>C70</f>
        <v>-1</v>
      </c>
      <c r="F91" s="9"/>
      <c r="G91" s="62" t="s">
        <v>295</v>
      </c>
      <c r="H91" s="62" t="s">
        <v>151</v>
      </c>
      <c r="I91" s="31">
        <f>I88*J89-J88*I89</f>
        <v>1.2087121525220799</v>
      </c>
      <c r="J91" s="62"/>
      <c r="K91" s="10"/>
    </row>
    <row r="92" spans="1:11" x14ac:dyDescent="0.3">
      <c r="B92" s="31">
        <f>C55</f>
        <v>1</v>
      </c>
      <c r="C92" s="31">
        <f>C71</f>
        <v>1</v>
      </c>
      <c r="F92" s="9"/>
      <c r="G92" s="62"/>
      <c r="H92" s="62"/>
      <c r="I92" s="62"/>
      <c r="J92" s="62"/>
      <c r="K92" s="10"/>
    </row>
    <row r="93" spans="1:11" x14ac:dyDescent="0.3">
      <c r="F93" s="9"/>
      <c r="G93" s="62" t="s">
        <v>242</v>
      </c>
      <c r="H93" s="62" t="s">
        <v>151</v>
      </c>
      <c r="I93" s="31">
        <f>J89</f>
        <v>1</v>
      </c>
      <c r="J93" s="31">
        <f>I89</f>
        <v>1</v>
      </c>
      <c r="K93" s="10"/>
    </row>
    <row r="94" spans="1:11" x14ac:dyDescent="0.3">
      <c r="A94" t="s">
        <v>244</v>
      </c>
      <c r="B94" s="31">
        <f>C29</f>
        <v>5.7912878474779195</v>
      </c>
      <c r="C94" s="31">
        <v>0</v>
      </c>
      <c r="F94" s="9"/>
      <c r="G94" s="62"/>
      <c r="H94" s="62"/>
      <c r="I94" s="31">
        <f>J88</f>
        <v>-1</v>
      </c>
      <c r="J94" s="31">
        <f>I88</f>
        <v>0.20871215252207989</v>
      </c>
      <c r="K94" s="10"/>
    </row>
    <row r="95" spans="1:11" x14ac:dyDescent="0.3">
      <c r="B95" s="31">
        <v>0</v>
      </c>
      <c r="C95" s="31">
        <f>C30</f>
        <v>1.2087121525220801</v>
      </c>
      <c r="F95" s="9"/>
      <c r="G95" s="62"/>
      <c r="H95" s="62"/>
      <c r="I95" s="62"/>
      <c r="J95" s="62"/>
      <c r="K95" s="10"/>
    </row>
    <row r="96" spans="1:11" x14ac:dyDescent="0.3">
      <c r="F96" s="9"/>
      <c r="G96" s="62" t="s">
        <v>241</v>
      </c>
      <c r="H96" s="62" t="s">
        <v>151</v>
      </c>
      <c r="I96" s="31">
        <f>I93</f>
        <v>1</v>
      </c>
      <c r="J96" s="31">
        <f>-J93</f>
        <v>-1</v>
      </c>
      <c r="K96" s="10"/>
    </row>
    <row r="97" spans="1:11" x14ac:dyDescent="0.3">
      <c r="A97" t="s">
        <v>183</v>
      </c>
      <c r="B97" s="31">
        <f>B94^D89</f>
        <v>194.23408959407257</v>
      </c>
      <c r="C97" s="31">
        <f>C94</f>
        <v>0</v>
      </c>
      <c r="F97" s="9"/>
      <c r="G97" s="62"/>
      <c r="H97" s="62"/>
      <c r="I97" s="31">
        <f>-I94</f>
        <v>1</v>
      </c>
      <c r="J97" s="31">
        <f>J94</f>
        <v>0.20871215252207989</v>
      </c>
      <c r="K97" s="10"/>
    </row>
    <row r="98" spans="1:11" x14ac:dyDescent="0.3">
      <c r="B98" s="31">
        <f>B95</f>
        <v>0</v>
      </c>
      <c r="C98" s="31">
        <f>C95^D89</f>
        <v>1.7659104059273603</v>
      </c>
      <c r="F98" s="9"/>
      <c r="G98" s="62"/>
      <c r="H98" s="62"/>
      <c r="I98" s="62"/>
      <c r="J98" s="62"/>
      <c r="K98" s="10"/>
    </row>
    <row r="99" spans="1:11" x14ac:dyDescent="0.3">
      <c r="F99" s="9"/>
      <c r="G99" s="62" t="s">
        <v>240</v>
      </c>
      <c r="H99" s="62" t="s">
        <v>151</v>
      </c>
      <c r="I99" s="31">
        <f>I96</f>
        <v>1</v>
      </c>
      <c r="J99" s="31">
        <f>I97</f>
        <v>1</v>
      </c>
      <c r="K99" s="10"/>
    </row>
    <row r="100" spans="1:11" x14ac:dyDescent="0.3">
      <c r="A100" t="s">
        <v>185</v>
      </c>
      <c r="B100" s="31">
        <f>I106</f>
        <v>0.82732683535398865</v>
      </c>
      <c r="C100" s="31">
        <f>J106</f>
        <v>0.82732683535398865</v>
      </c>
      <c r="F100" s="9"/>
      <c r="G100" s="62"/>
      <c r="H100" s="62"/>
      <c r="I100" s="31">
        <f>J96</f>
        <v>-1</v>
      </c>
      <c r="J100" s="31">
        <f>J97</f>
        <v>0.20871215252207989</v>
      </c>
      <c r="K100" s="10"/>
    </row>
    <row r="101" spans="1:11" x14ac:dyDescent="0.3">
      <c r="B101" s="31">
        <f>I107</f>
        <v>-0.82732683535398865</v>
      </c>
      <c r="C101" s="31">
        <f>J107</f>
        <v>0.17267316464601135</v>
      </c>
      <c r="F101" s="9"/>
      <c r="G101" s="62"/>
      <c r="H101" s="62"/>
      <c r="I101" s="62"/>
      <c r="J101" s="62"/>
      <c r="K101" s="10"/>
    </row>
    <row r="102" spans="1:11" x14ac:dyDescent="0.3">
      <c r="F102" s="9"/>
      <c r="G102" s="62" t="s">
        <v>290</v>
      </c>
      <c r="H102" s="62" t="s">
        <v>151</v>
      </c>
      <c r="I102" s="31">
        <f>(1/I91)</f>
        <v>0.82732683535398865</v>
      </c>
      <c r="J102" s="62"/>
      <c r="K102" s="10"/>
    </row>
    <row r="103" spans="1:11" x14ac:dyDescent="0.3">
      <c r="F103" s="9"/>
      <c r="G103" s="62"/>
      <c r="H103" s="62"/>
      <c r="I103" s="62"/>
      <c r="J103" s="62"/>
      <c r="K103" s="10"/>
    </row>
    <row r="104" spans="1:11" x14ac:dyDescent="0.3">
      <c r="F104" s="9"/>
      <c r="G104" s="62" t="s">
        <v>185</v>
      </c>
      <c r="H104" s="62" t="s">
        <v>151</v>
      </c>
      <c r="I104" s="31" t="s">
        <v>339</v>
      </c>
      <c r="J104" s="31"/>
      <c r="K104" s="10"/>
    </row>
    <row r="105" spans="1:11" x14ac:dyDescent="0.3">
      <c r="F105" s="9"/>
      <c r="G105" s="62"/>
      <c r="H105" s="62"/>
      <c r="I105" s="62"/>
      <c r="J105" s="62"/>
      <c r="K105" s="10"/>
    </row>
    <row r="106" spans="1:11" x14ac:dyDescent="0.3">
      <c r="F106" s="9"/>
      <c r="G106" s="62" t="s">
        <v>185</v>
      </c>
      <c r="H106" s="62" t="s">
        <v>151</v>
      </c>
      <c r="I106" s="31">
        <f>I102*I99</f>
        <v>0.82732683535398865</v>
      </c>
      <c r="J106" s="31">
        <f>I102*J99</f>
        <v>0.82732683535398865</v>
      </c>
      <c r="K106" s="10"/>
    </row>
    <row r="107" spans="1:11" x14ac:dyDescent="0.3">
      <c r="F107" s="9"/>
      <c r="G107" s="62"/>
      <c r="H107" s="62"/>
      <c r="I107" s="31">
        <f>I102*I100</f>
        <v>-0.82732683535398865</v>
      </c>
      <c r="J107" s="31">
        <f>I102*J100</f>
        <v>0.17267316464601135</v>
      </c>
      <c r="K107" s="10"/>
    </row>
    <row r="108" spans="1:11" x14ac:dyDescent="0.3">
      <c r="F108" s="37"/>
      <c r="G108" s="33"/>
      <c r="H108" s="33"/>
      <c r="I108" s="33"/>
      <c r="J108" s="33"/>
      <c r="K108" s="32"/>
    </row>
    <row r="113" spans="1:10" x14ac:dyDescent="0.3">
      <c r="A113" t="str">
        <f>"A"&amp;"^"&amp;D89</f>
        <v>A^3</v>
      </c>
      <c r="B113" t="s">
        <v>151</v>
      </c>
      <c r="C113" t="s">
        <v>237</v>
      </c>
    </row>
    <row r="115" spans="1:10" x14ac:dyDescent="0.3">
      <c r="A115" t="s">
        <v>236</v>
      </c>
      <c r="B115" t="s">
        <v>151</v>
      </c>
      <c r="C115" t="s">
        <v>235</v>
      </c>
      <c r="E115" t="s">
        <v>233</v>
      </c>
      <c r="F115" t="s">
        <v>183</v>
      </c>
      <c r="H115" t="s">
        <v>233</v>
      </c>
      <c r="I115" t="s">
        <v>185</v>
      </c>
    </row>
    <row r="116" spans="1:10" x14ac:dyDescent="0.3">
      <c r="C116" s="31">
        <f>B91</f>
        <v>0.20871215252207989</v>
      </c>
      <c r="D116" s="31">
        <f>C91</f>
        <v>-1</v>
      </c>
      <c r="E116" t="s">
        <v>233</v>
      </c>
      <c r="F116" s="31">
        <f>B94^D89</f>
        <v>194.23408959407257</v>
      </c>
      <c r="G116" s="31">
        <f>C94</f>
        <v>0</v>
      </c>
      <c r="H116" t="s">
        <v>233</v>
      </c>
      <c r="I116" s="31">
        <f>I106</f>
        <v>0.82732683535398865</v>
      </c>
      <c r="J116" s="31">
        <f>J106</f>
        <v>0.82732683535398865</v>
      </c>
    </row>
    <row r="117" spans="1:10" x14ac:dyDescent="0.3">
      <c r="C117" s="31">
        <f>B92</f>
        <v>1</v>
      </c>
      <c r="D117" s="31">
        <f>C92</f>
        <v>1</v>
      </c>
      <c r="F117" s="31">
        <f>B95</f>
        <v>0</v>
      </c>
      <c r="G117" s="31">
        <f>C95^D89</f>
        <v>1.7659104059273603</v>
      </c>
      <c r="I117" s="31">
        <f>I107</f>
        <v>-0.82732683535398865</v>
      </c>
      <c r="J117" s="31">
        <f>J107</f>
        <v>0.17267316464601135</v>
      </c>
    </row>
    <row r="119" spans="1:10" x14ac:dyDescent="0.3">
      <c r="A119" t="s">
        <v>236</v>
      </c>
      <c r="B119" t="s">
        <v>151</v>
      </c>
      <c r="C119" t="s">
        <v>282</v>
      </c>
      <c r="E119" t="s">
        <v>233</v>
      </c>
      <c r="F119" t="s">
        <v>185</v>
      </c>
    </row>
    <row r="120" spans="1:10" x14ac:dyDescent="0.3">
      <c r="C120" s="31">
        <f>C116*F116+D116*F117</f>
        <v>40.539014932345403</v>
      </c>
      <c r="D120" s="31">
        <f>C116*G116+D116*G117</f>
        <v>-1.7659104059273603</v>
      </c>
      <c r="E120" t="s">
        <v>233</v>
      </c>
      <c r="F120" s="31">
        <f>I116</f>
        <v>0.82732683535398865</v>
      </c>
      <c r="G120" s="31">
        <f>J116</f>
        <v>0.82732683535398865</v>
      </c>
    </row>
    <row r="121" spans="1:10" x14ac:dyDescent="0.3">
      <c r="C121" s="31">
        <f>C117*F116+D117*F117</f>
        <v>194.23408959407257</v>
      </c>
      <c r="D121" s="31">
        <f>C117*G116+D117*G117</f>
        <v>1.7659104059273603</v>
      </c>
      <c r="F121" s="31">
        <f>I117</f>
        <v>-0.82732683535398865</v>
      </c>
      <c r="G121" s="31">
        <f>J117</f>
        <v>0.17267316464601135</v>
      </c>
    </row>
    <row r="123" spans="1:10" x14ac:dyDescent="0.3">
      <c r="B123" t="s">
        <v>151</v>
      </c>
      <c r="C123" s="31">
        <f>C120*F120+D120*F121</f>
        <v>34.999999999999972</v>
      </c>
      <c r="D123" s="31">
        <f>C120*G120+D120*G121</f>
        <v>33.234089594072607</v>
      </c>
    </row>
    <row r="124" spans="1:10" x14ac:dyDescent="0.3">
      <c r="C124" s="31">
        <f>C121*F120+D121*F121</f>
        <v>159.2340895940726</v>
      </c>
      <c r="D124" s="31">
        <f>C121*G120+D121*G121</f>
        <v>160.99999999999994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4561-CCFB-44D2-A06D-051C550A7980}">
  <dimension ref="B1:AV275"/>
  <sheetViews>
    <sheetView tabSelected="1" topLeftCell="O253" zoomScale="94" zoomScaleNormal="94" workbookViewId="0">
      <selection activeCell="AE138" sqref="AE138:AG138"/>
    </sheetView>
  </sheetViews>
  <sheetFormatPr defaultRowHeight="14.4" x14ac:dyDescent="0.3"/>
  <cols>
    <col min="18" max="18" width="1.6640625" style="72" customWidth="1"/>
    <col min="31" max="31" width="8.88671875" customWidth="1"/>
    <col min="42" max="42" width="8.88671875" customWidth="1"/>
    <col min="43" max="43" width="8.6640625" customWidth="1"/>
  </cols>
  <sheetData>
    <row r="1" spans="2:38" ht="51.6" customHeight="1" x14ac:dyDescent="0.35">
      <c r="J1" s="14"/>
      <c r="K1" s="14"/>
      <c r="L1" s="14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</row>
    <row r="2" spans="2:38" x14ac:dyDescent="0.3"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2:38" ht="28.8" x14ac:dyDescent="0.55000000000000004">
      <c r="B3" s="133"/>
      <c r="C3" s="133"/>
      <c r="D3" s="133"/>
      <c r="E3" s="133"/>
      <c r="F3" s="133"/>
      <c r="G3" s="134"/>
      <c r="H3" s="134"/>
      <c r="I3" s="134"/>
      <c r="J3" s="133"/>
      <c r="K3" s="133"/>
      <c r="L3" s="133"/>
      <c r="AA3" s="56" t="s">
        <v>333</v>
      </c>
      <c r="AB3" s="57"/>
      <c r="AC3" s="58"/>
    </row>
    <row r="4" spans="2:38" x14ac:dyDescent="0.3"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</row>
    <row r="5" spans="2:38" x14ac:dyDescent="0.3">
      <c r="B5" s="142"/>
      <c r="C5" s="142"/>
      <c r="D5" s="142"/>
      <c r="E5" s="133"/>
      <c r="F5" s="133"/>
      <c r="G5" s="133"/>
      <c r="H5" s="133"/>
      <c r="I5" s="133"/>
      <c r="J5" s="133"/>
      <c r="K5" s="133"/>
      <c r="L5" s="133"/>
      <c r="T5" s="161" t="s">
        <v>332</v>
      </c>
      <c r="U5" s="161"/>
      <c r="V5" s="161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</row>
    <row r="6" spans="2:38" x14ac:dyDescent="0.3"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</row>
    <row r="7" spans="2:38" x14ac:dyDescent="0.3">
      <c r="B7" s="135"/>
      <c r="C7" s="135"/>
      <c r="D7" s="135"/>
      <c r="E7" s="133"/>
      <c r="F7" s="133"/>
      <c r="G7" s="133"/>
      <c r="H7" s="133"/>
      <c r="I7" s="133"/>
      <c r="J7" s="133"/>
      <c r="K7" s="133"/>
      <c r="L7" s="133"/>
      <c r="T7" s="71" t="s">
        <v>331</v>
      </c>
      <c r="U7" s="71"/>
      <c r="V7" s="71"/>
      <c r="W7" s="71"/>
      <c r="X7" s="71"/>
      <c r="Y7" s="71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</row>
    <row r="8" spans="2:38" x14ac:dyDescent="0.3"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</row>
    <row r="9" spans="2:38" ht="14.4" customHeight="1" x14ac:dyDescent="0.3">
      <c r="B9" s="136"/>
      <c r="C9" s="133"/>
      <c r="D9" s="133"/>
      <c r="E9" s="137"/>
      <c r="F9" s="138"/>
      <c r="G9" s="133"/>
      <c r="H9" s="133"/>
      <c r="I9" s="136"/>
      <c r="J9" s="137"/>
      <c r="K9" s="137"/>
      <c r="L9" s="133"/>
      <c r="T9" s="73" t="s">
        <v>326</v>
      </c>
      <c r="U9" s="74">
        <v>2</v>
      </c>
      <c r="V9" s="74">
        <v>1</v>
      </c>
      <c r="W9" s="74">
        <v>3</v>
      </c>
      <c r="X9" s="75" t="s">
        <v>280</v>
      </c>
      <c r="Y9" s="76" t="s">
        <v>279</v>
      </c>
      <c r="Z9" s="74">
        <v>1</v>
      </c>
      <c r="AA9" s="74">
        <v>0</v>
      </c>
      <c r="AB9" s="74">
        <v>0</v>
      </c>
      <c r="AC9" s="73" t="s">
        <v>326</v>
      </c>
      <c r="AD9" s="75" t="s">
        <v>151</v>
      </c>
      <c r="AE9" s="75">
        <v>0</v>
      </c>
      <c r="AF9" s="72"/>
      <c r="AG9" s="72"/>
      <c r="AH9" s="72"/>
      <c r="AI9" s="72"/>
      <c r="AJ9" s="72"/>
      <c r="AK9" s="72"/>
      <c r="AL9" s="72"/>
    </row>
    <row r="10" spans="2:38" ht="14.4" customHeight="1" x14ac:dyDescent="0.3">
      <c r="B10" s="136"/>
      <c r="C10" s="133"/>
      <c r="D10" s="133"/>
      <c r="E10" s="137"/>
      <c r="F10" s="138"/>
      <c r="G10" s="133"/>
      <c r="H10" s="133"/>
      <c r="I10" s="136"/>
      <c r="J10" s="137"/>
      <c r="K10" s="137"/>
      <c r="L10" s="133"/>
      <c r="T10" s="73"/>
      <c r="U10" s="74">
        <v>1</v>
      </c>
      <c r="V10" s="74">
        <v>2</v>
      </c>
      <c r="W10" s="74">
        <v>3</v>
      </c>
      <c r="X10" s="75"/>
      <c r="Y10" s="76"/>
      <c r="Z10" s="74">
        <v>0</v>
      </c>
      <c r="AA10" s="74">
        <v>1</v>
      </c>
      <c r="AB10" s="74">
        <v>0</v>
      </c>
      <c r="AC10" s="73"/>
      <c r="AD10" s="75"/>
      <c r="AE10" s="75"/>
      <c r="AF10" s="72"/>
      <c r="AG10" s="72"/>
      <c r="AH10" s="72"/>
      <c r="AI10" s="72"/>
      <c r="AJ10" s="72"/>
      <c r="AK10" s="72"/>
      <c r="AL10" s="72"/>
    </row>
    <row r="11" spans="2:38" ht="14.4" customHeight="1" x14ac:dyDescent="0.3"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T11" s="73"/>
      <c r="U11" s="74">
        <v>3</v>
      </c>
      <c r="V11" s="74">
        <v>3</v>
      </c>
      <c r="W11" s="74">
        <v>20</v>
      </c>
      <c r="X11" s="75"/>
      <c r="Y11" s="76"/>
      <c r="Z11" s="74">
        <v>0</v>
      </c>
      <c r="AA11" s="74">
        <v>0</v>
      </c>
      <c r="AB11" s="74">
        <v>1</v>
      </c>
      <c r="AC11" s="73"/>
      <c r="AD11" s="75"/>
      <c r="AE11" s="75"/>
      <c r="AF11" s="72"/>
      <c r="AG11" s="72"/>
      <c r="AH11" s="72"/>
      <c r="AI11" s="72"/>
      <c r="AJ11" s="72"/>
      <c r="AK11" s="72"/>
      <c r="AL11" s="72"/>
    </row>
    <row r="12" spans="2:38" ht="14.4" customHeight="1" x14ac:dyDescent="0.3">
      <c r="B12" s="136"/>
      <c r="C12" s="133"/>
      <c r="D12" s="133"/>
      <c r="E12" s="137"/>
      <c r="F12" s="139"/>
      <c r="G12" s="133"/>
      <c r="H12" s="136"/>
      <c r="I12" s="137"/>
      <c r="J12" s="137"/>
      <c r="K12" s="133"/>
      <c r="L12" s="133"/>
      <c r="T12" s="77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</row>
    <row r="13" spans="2:38" x14ac:dyDescent="0.3">
      <c r="B13" s="136"/>
      <c r="C13" s="133"/>
      <c r="D13" s="133"/>
      <c r="E13" s="137"/>
      <c r="F13" s="133"/>
      <c r="G13" s="139"/>
      <c r="H13" s="136"/>
      <c r="I13" s="137"/>
      <c r="J13" s="137"/>
      <c r="K13" s="133"/>
      <c r="L13" s="133"/>
      <c r="T13" s="73" t="s">
        <v>326</v>
      </c>
      <c r="U13" s="74">
        <f>U9</f>
        <v>2</v>
      </c>
      <c r="V13" s="74">
        <f>V9</f>
        <v>1</v>
      </c>
      <c r="W13" s="74">
        <f>W9</f>
        <v>3</v>
      </c>
      <c r="X13" s="75" t="s">
        <v>280</v>
      </c>
      <c r="Y13" s="78" t="s">
        <v>279</v>
      </c>
      <c r="Z13" s="74">
        <v>0</v>
      </c>
      <c r="AA13" s="74">
        <v>0</v>
      </c>
      <c r="AB13" s="73" t="s">
        <v>326</v>
      </c>
      <c r="AC13" s="75" t="s">
        <v>151</v>
      </c>
      <c r="AD13" s="75">
        <v>0</v>
      </c>
      <c r="AE13" s="72"/>
      <c r="AF13" s="72"/>
      <c r="AG13" s="72"/>
      <c r="AH13" s="72"/>
      <c r="AI13" s="72"/>
      <c r="AJ13" s="72"/>
      <c r="AK13" s="72"/>
      <c r="AL13" s="72"/>
    </row>
    <row r="14" spans="2:38" x14ac:dyDescent="0.3"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T14" s="73"/>
      <c r="U14" s="74">
        <f>U10</f>
        <v>1</v>
      </c>
      <c r="V14" s="74">
        <f>V10</f>
        <v>2</v>
      </c>
      <c r="W14" s="74">
        <f>W10</f>
        <v>3</v>
      </c>
      <c r="X14" s="75"/>
      <c r="Y14" s="74">
        <v>0</v>
      </c>
      <c r="Z14" s="78" t="s">
        <v>279</v>
      </c>
      <c r="AA14" s="74">
        <v>0</v>
      </c>
      <c r="AB14" s="73"/>
      <c r="AC14" s="75"/>
      <c r="AD14" s="75"/>
      <c r="AE14" s="72"/>
      <c r="AF14" s="72"/>
      <c r="AG14" s="72"/>
      <c r="AH14" s="72"/>
      <c r="AI14" s="72"/>
      <c r="AJ14" s="72"/>
      <c r="AK14" s="72"/>
      <c r="AL14" s="72"/>
    </row>
    <row r="15" spans="2:38" x14ac:dyDescent="0.3">
      <c r="B15" s="136"/>
      <c r="C15" s="140"/>
      <c r="D15" s="133"/>
      <c r="E15" s="136"/>
      <c r="F15" s="137"/>
      <c r="G15" s="137"/>
      <c r="H15" s="133"/>
      <c r="I15" s="133"/>
      <c r="J15" s="133"/>
      <c r="K15" s="133"/>
      <c r="L15" s="133"/>
      <c r="T15" s="73"/>
      <c r="U15" s="74">
        <f>U11</f>
        <v>3</v>
      </c>
      <c r="V15" s="74">
        <f>V11</f>
        <v>3</v>
      </c>
      <c r="W15" s="74">
        <f>W11</f>
        <v>20</v>
      </c>
      <c r="X15" s="75"/>
      <c r="Y15" s="74">
        <v>0</v>
      </c>
      <c r="Z15" s="74">
        <v>0</v>
      </c>
      <c r="AA15" s="78" t="s">
        <v>279</v>
      </c>
      <c r="AB15" s="73"/>
      <c r="AC15" s="75"/>
      <c r="AD15" s="75"/>
      <c r="AE15" s="72"/>
      <c r="AF15" s="72"/>
      <c r="AG15" s="72"/>
      <c r="AH15" s="72"/>
      <c r="AI15" s="72"/>
      <c r="AJ15" s="72"/>
      <c r="AK15" s="72"/>
      <c r="AL15" s="72"/>
    </row>
    <row r="16" spans="2:38" ht="14.4" customHeight="1" x14ac:dyDescent="0.3">
      <c r="B16" s="136"/>
      <c r="C16" s="133"/>
      <c r="D16" s="140"/>
      <c r="E16" s="136"/>
      <c r="F16" s="137"/>
      <c r="G16" s="137"/>
      <c r="H16" s="133"/>
      <c r="I16" s="133"/>
      <c r="J16" s="133"/>
      <c r="K16" s="133"/>
      <c r="L16" s="133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 spans="2:47" x14ac:dyDescent="0.3"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T17" s="73" t="s">
        <v>326</v>
      </c>
      <c r="U17" s="79" t="str">
        <f>U13&amp;"-"&amp;Y13</f>
        <v>2-λ</v>
      </c>
      <c r="V17" s="74">
        <f>V13</f>
        <v>1</v>
      </c>
      <c r="W17" s="74">
        <f>W13</f>
        <v>3</v>
      </c>
      <c r="X17" s="73" t="s">
        <v>326</v>
      </c>
      <c r="Y17" s="75" t="s">
        <v>151</v>
      </c>
      <c r="Z17" s="75">
        <v>0</v>
      </c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 spans="2:47" x14ac:dyDescent="0.3">
      <c r="B18" s="133"/>
      <c r="C18" s="133"/>
      <c r="D18" s="141"/>
      <c r="E18" s="133"/>
      <c r="F18" s="141"/>
      <c r="G18" s="141"/>
      <c r="H18" s="133"/>
      <c r="I18" s="133"/>
      <c r="J18" s="133"/>
      <c r="K18" s="133"/>
      <c r="L18" s="133"/>
      <c r="T18" s="73"/>
      <c r="U18" s="74">
        <f>U14</f>
        <v>1</v>
      </c>
      <c r="V18" s="79" t="str">
        <f>V14&amp;"-"&amp;Z14</f>
        <v>2-λ</v>
      </c>
      <c r="W18" s="74">
        <f>W14</f>
        <v>3</v>
      </c>
      <c r="X18" s="73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 spans="2:47" x14ac:dyDescent="0.3"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T19" s="73"/>
      <c r="U19" s="74">
        <f>U15</f>
        <v>3</v>
      </c>
      <c r="V19" s="74">
        <f>V15</f>
        <v>3</v>
      </c>
      <c r="W19" s="79" t="str">
        <f>W15&amp;"-"&amp;AA15</f>
        <v>20-λ</v>
      </c>
      <c r="X19" s="73"/>
      <c r="Y19" s="75"/>
      <c r="Z19" s="75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 spans="2:47" x14ac:dyDescent="0.3">
      <c r="B20" s="142"/>
      <c r="C20" s="142"/>
      <c r="D20" s="142"/>
      <c r="E20" s="142"/>
      <c r="F20" s="133"/>
      <c r="G20" s="133"/>
      <c r="H20" s="133"/>
      <c r="I20" s="133"/>
      <c r="J20" s="133"/>
      <c r="K20" s="133"/>
      <c r="L20" s="133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spans="2:47" x14ac:dyDescent="0.3"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</row>
    <row r="22" spans="2:47" x14ac:dyDescent="0.3">
      <c r="B22" s="143"/>
      <c r="C22" s="143"/>
      <c r="D22" s="143"/>
      <c r="E22" s="133"/>
      <c r="F22" s="133"/>
      <c r="G22" s="133"/>
      <c r="H22" s="133"/>
      <c r="I22" s="133"/>
      <c r="J22" s="133"/>
      <c r="K22" s="140"/>
      <c r="L22" s="133"/>
      <c r="T22" s="161" t="s">
        <v>328</v>
      </c>
      <c r="U22" s="161"/>
      <c r="V22" s="161"/>
      <c r="W22" s="161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</row>
    <row r="23" spans="2:47" x14ac:dyDescent="0.3">
      <c r="B23" s="133"/>
      <c r="C23" s="141"/>
      <c r="D23" s="133"/>
      <c r="E23" s="133"/>
      <c r="F23" s="133"/>
      <c r="G23" s="133"/>
      <c r="H23" s="133"/>
      <c r="I23" s="133"/>
      <c r="J23" s="133"/>
      <c r="K23" s="133"/>
      <c r="L23" s="133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</row>
    <row r="24" spans="2:47" x14ac:dyDescent="0.3">
      <c r="B24" s="133"/>
      <c r="C24" s="141"/>
      <c r="D24" s="133"/>
      <c r="E24" s="133"/>
      <c r="F24" s="133"/>
      <c r="G24" s="133"/>
      <c r="H24" s="133"/>
      <c r="I24" s="133"/>
      <c r="J24" s="133"/>
      <c r="K24" s="133"/>
      <c r="L24" s="133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</row>
    <row r="25" spans="2:47" x14ac:dyDescent="0.3">
      <c r="B25" s="133"/>
      <c r="C25" s="141"/>
      <c r="D25" s="133"/>
      <c r="E25" s="133"/>
      <c r="F25" s="133"/>
      <c r="G25" s="133"/>
      <c r="H25" s="133"/>
      <c r="I25" s="133"/>
      <c r="J25" s="133"/>
      <c r="K25" s="133"/>
      <c r="L25" s="133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</row>
    <row r="26" spans="2:47" x14ac:dyDescent="0.3"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</row>
    <row r="27" spans="2:47" x14ac:dyDescent="0.3">
      <c r="B27" s="144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</row>
    <row r="28" spans="2:47" x14ac:dyDescent="0.3"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</row>
    <row r="29" spans="2:47" x14ac:dyDescent="0.3"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</row>
    <row r="30" spans="2:47" x14ac:dyDescent="0.3"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T30" s="80" t="s">
        <v>274</v>
      </c>
      <c r="U30" s="75" t="str">
        <f>U17</f>
        <v>2-λ</v>
      </c>
      <c r="V30" s="75" t="s">
        <v>233</v>
      </c>
      <c r="W30" s="73" t="s">
        <v>326</v>
      </c>
      <c r="X30" s="79" t="str">
        <f>V18</f>
        <v>2-λ</v>
      </c>
      <c r="Y30" s="74">
        <f>W18</f>
        <v>3</v>
      </c>
      <c r="Z30" s="73" t="s">
        <v>326</v>
      </c>
      <c r="AA30" s="81" t="s">
        <v>273</v>
      </c>
      <c r="AB30" s="75" t="s">
        <v>280</v>
      </c>
      <c r="AC30" s="80" t="s">
        <v>274</v>
      </c>
      <c r="AD30" s="75">
        <f>V17</f>
        <v>1</v>
      </c>
      <c r="AE30" s="75" t="s">
        <v>233</v>
      </c>
      <c r="AF30" s="73" t="s">
        <v>326</v>
      </c>
      <c r="AG30" s="74">
        <f>U18</f>
        <v>1</v>
      </c>
      <c r="AH30" s="74">
        <f>W18</f>
        <v>3</v>
      </c>
      <c r="AI30" s="73" t="s">
        <v>326</v>
      </c>
      <c r="AJ30" s="81" t="s">
        <v>273</v>
      </c>
      <c r="AK30" s="75" t="s">
        <v>311</v>
      </c>
      <c r="AL30" s="80" t="s">
        <v>274</v>
      </c>
      <c r="AM30" s="53">
        <f>W17</f>
        <v>3</v>
      </c>
      <c r="AN30" s="53" t="s">
        <v>233</v>
      </c>
      <c r="AO30" s="51" t="s">
        <v>326</v>
      </c>
      <c r="AP30" s="31">
        <f>U18</f>
        <v>1</v>
      </c>
      <c r="AQ30" s="36" t="str">
        <f>V18</f>
        <v>2-λ</v>
      </c>
      <c r="AR30" s="51" t="s">
        <v>326</v>
      </c>
      <c r="AS30" s="59" t="s">
        <v>273</v>
      </c>
      <c r="AT30" s="53" t="s">
        <v>151</v>
      </c>
      <c r="AU30" s="53">
        <v>0</v>
      </c>
    </row>
    <row r="31" spans="2:47" x14ac:dyDescent="0.3">
      <c r="B31" s="144"/>
      <c r="C31" s="141"/>
      <c r="D31" s="133"/>
      <c r="E31" s="133"/>
      <c r="F31" s="133"/>
      <c r="G31" s="145"/>
      <c r="H31" s="145"/>
      <c r="I31" s="145"/>
      <c r="J31" s="133"/>
      <c r="K31" s="133"/>
      <c r="L31" s="133"/>
      <c r="T31" s="80"/>
      <c r="U31" s="75"/>
      <c r="V31" s="75"/>
      <c r="W31" s="73"/>
      <c r="X31" s="74">
        <f>V19</f>
        <v>3</v>
      </c>
      <c r="Y31" s="79" t="str">
        <f>W19</f>
        <v>20-λ</v>
      </c>
      <c r="Z31" s="73"/>
      <c r="AA31" s="81"/>
      <c r="AB31" s="75"/>
      <c r="AC31" s="80"/>
      <c r="AD31" s="75"/>
      <c r="AE31" s="75"/>
      <c r="AF31" s="73"/>
      <c r="AG31" s="74">
        <f>U19</f>
        <v>3</v>
      </c>
      <c r="AH31" s="79" t="str">
        <f>W19</f>
        <v>20-λ</v>
      </c>
      <c r="AI31" s="73"/>
      <c r="AJ31" s="81"/>
      <c r="AK31" s="75"/>
      <c r="AL31" s="80"/>
      <c r="AM31" s="53"/>
      <c r="AN31" s="53"/>
      <c r="AO31" s="51"/>
      <c r="AP31" s="31">
        <f>U19</f>
        <v>3</v>
      </c>
      <c r="AQ31" s="31">
        <f>V19</f>
        <v>3</v>
      </c>
      <c r="AR31" s="51"/>
      <c r="AS31" s="59"/>
      <c r="AT31" s="53"/>
      <c r="AU31" s="53"/>
    </row>
    <row r="32" spans="2:47" x14ac:dyDescent="0.3">
      <c r="B32" s="144"/>
      <c r="C32" s="141"/>
      <c r="D32" s="133"/>
      <c r="E32" s="133"/>
      <c r="F32" s="133"/>
      <c r="G32" s="145"/>
      <c r="H32" s="145"/>
      <c r="I32" s="145"/>
      <c r="J32" s="133"/>
      <c r="K32" s="133"/>
      <c r="L32" s="133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spans="2:42" x14ac:dyDescent="0.3"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T33" s="72"/>
      <c r="U33" s="82" t="str">
        <f>U30</f>
        <v>2-λ</v>
      </c>
      <c r="V33" s="83" t="s">
        <v>274</v>
      </c>
      <c r="W33" s="72" t="str">
        <f>"("&amp;X30&amp;")"&amp;"("&amp;Y31&amp;")"</f>
        <v>(2-λ)(20-λ)</v>
      </c>
      <c r="X33" s="84" t="s">
        <v>280</v>
      </c>
      <c r="Y33" s="72">
        <f>X31*Y30</f>
        <v>9</v>
      </c>
      <c r="Z33" s="85" t="s">
        <v>273</v>
      </c>
      <c r="AA33" s="84" t="s">
        <v>280</v>
      </c>
      <c r="AB33" s="72">
        <f>AD30</f>
        <v>1</v>
      </c>
      <c r="AC33" s="84" t="str">
        <f>V33</f>
        <v>(</v>
      </c>
      <c r="AD33" s="72" t="str">
        <f>"("&amp;AG30&amp;")"&amp;"("&amp;AH31&amp;")"</f>
        <v>(1)(20-λ)</v>
      </c>
      <c r="AE33" s="84" t="str">
        <f>AA33</f>
        <v>-</v>
      </c>
      <c r="AF33" s="72">
        <f>AG31*AH30</f>
        <v>9</v>
      </c>
      <c r="AG33" s="84" t="str">
        <f>Z33</f>
        <v>)</v>
      </c>
      <c r="AH33" s="84" t="s">
        <v>311</v>
      </c>
      <c r="AI33" s="72">
        <f>AM30</f>
        <v>3</v>
      </c>
      <c r="AJ33" s="84" t="str">
        <f>AC33</f>
        <v>(</v>
      </c>
      <c r="AK33" s="72">
        <f>AP30*AQ31</f>
        <v>3</v>
      </c>
      <c r="AL33" s="84" t="s">
        <v>280</v>
      </c>
      <c r="AM33" t="str">
        <f>"("&amp;AP31&amp;")"&amp;"("&amp;AQ30&amp;")"</f>
        <v>(3)(2-λ)</v>
      </c>
      <c r="AN33" s="11" t="str">
        <f>AG33</f>
        <v>)</v>
      </c>
      <c r="AO33" s="11" t="s">
        <v>151</v>
      </c>
      <c r="AP33" s="11">
        <v>0</v>
      </c>
    </row>
    <row r="34" spans="2:42" x14ac:dyDescent="0.3">
      <c r="B34" s="142"/>
      <c r="C34" s="142"/>
      <c r="D34" s="142"/>
      <c r="E34" s="133"/>
      <c r="F34" s="133"/>
      <c r="G34" s="133"/>
      <c r="H34" s="133"/>
      <c r="I34" s="133"/>
      <c r="J34" s="133"/>
      <c r="K34" s="133"/>
      <c r="L34" s="133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spans="2:42" x14ac:dyDescent="0.3"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T35" s="72"/>
      <c r="U35" s="82" t="str">
        <f>U33</f>
        <v>2-λ</v>
      </c>
      <c r="V35" s="86" t="str">
        <f>"("&amp;Y13&amp;"^2 - "&amp;(W123*X125)&amp;Y13&amp;" + "&amp;(W123*X125)&amp;")"</f>
        <v>(λ^2 - 20λ + 20)</v>
      </c>
      <c r="W35" s="87"/>
      <c r="X35" s="84" t="s">
        <v>280</v>
      </c>
      <c r="Y35" s="84">
        <f>W123</f>
        <v>1</v>
      </c>
      <c r="Z35" s="86" t="str">
        <f>"("&amp;(-V124)&amp;Y13&amp;" + "&amp;(V124*X125-X124*V125)&amp;")"</f>
        <v>(-1λ + 11)</v>
      </c>
      <c r="AA35" s="87"/>
      <c r="AB35" s="84" t="s">
        <v>311</v>
      </c>
      <c r="AC35" s="72">
        <f>X123</f>
        <v>3</v>
      </c>
      <c r="AD35" s="86" t="str">
        <f>"("&amp;V125&amp;Y13&amp;" + "&amp;(V124*W125-V125*W123)&amp;")"</f>
        <v>(3λ + 0)</v>
      </c>
      <c r="AE35" s="87"/>
      <c r="AF35" s="84" t="s">
        <v>151</v>
      </c>
      <c r="AG35" s="84">
        <v>0</v>
      </c>
      <c r="AH35" s="72"/>
      <c r="AI35" s="72"/>
      <c r="AJ35" s="72"/>
      <c r="AK35" s="72"/>
      <c r="AL35" s="72"/>
    </row>
    <row r="36" spans="2:42" x14ac:dyDescent="0.3">
      <c r="B36" s="142"/>
      <c r="C36" s="142"/>
      <c r="D36" s="142"/>
      <c r="E36" s="142"/>
      <c r="F36" s="142"/>
      <c r="G36" s="142"/>
      <c r="H36" s="142"/>
      <c r="I36" s="142"/>
      <c r="J36" s="142"/>
      <c r="K36" s="133"/>
      <c r="L36" s="133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</row>
    <row r="37" spans="2:42" x14ac:dyDescent="0.3"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T37" s="72"/>
      <c r="U37" s="86" t="str">
        <f>V123&amp;Y13&amp;"^2 - "&amp;(V123*W123*X125)&amp;Y13&amp;" + "&amp;(V123*W123*X125)&amp;" - "&amp;Y13&amp;"^3 - "&amp;(-(W123*X125))&amp;Y13&amp;"^2 - "&amp;(W123*X125)&amp;Y13</f>
        <v>2λ^2 - 40λ + 40 - λ^3 - -20λ^2 - 20λ</v>
      </c>
      <c r="V37" s="88"/>
      <c r="W37" s="88"/>
      <c r="X37" s="87"/>
      <c r="Y37" s="84" t="s">
        <v>280</v>
      </c>
      <c r="Z37" s="86" t="str">
        <f>"("&amp;(-V124)&amp;Y13&amp;" + "&amp;(V124*X125-X124*V125)&amp;")"</f>
        <v>(-1λ + 11)</v>
      </c>
      <c r="AA37" s="88"/>
      <c r="AB37" s="88"/>
      <c r="AC37" s="87"/>
      <c r="AD37" s="84" t="s">
        <v>311</v>
      </c>
      <c r="AE37" s="86" t="str">
        <f>(V125*X123)&amp;Y13&amp;" + "&amp;(V124*X123*W125)&amp;" -"&amp;(V125*W123*X123)</f>
        <v>9λ + 9 -9</v>
      </c>
      <c r="AF37" s="88"/>
      <c r="AG37" s="88"/>
      <c r="AH37" s="87"/>
      <c r="AI37" s="84" t="s">
        <v>151</v>
      </c>
      <c r="AJ37" s="84">
        <v>0</v>
      </c>
      <c r="AK37" s="72"/>
      <c r="AL37" s="72"/>
    </row>
    <row r="38" spans="2:42" x14ac:dyDescent="0.3"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spans="2:42" x14ac:dyDescent="0.3"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T39" s="72"/>
      <c r="U39" s="86" t="str">
        <f>"-1"&amp;Y13&amp;"^3 + "&amp;(V123+W124+X125)&amp;Y13&amp;"^2 + "&amp;(-1*V123*(W124+X125))+((X124*W125)-W124*X125)+(-1*(W123*(-1*V124)))+(X123*V125)&amp;Y13&amp;" + "&amp;V123*((W124*X125)-X124*W125)+(-1*(W123*(V124*X125-(W125*X124))))+(W13*((U14*V15)-(U15*V14)))</f>
        <v>-1λ^3 + 24λ^2 + -65λ + 42</v>
      </c>
      <c r="V39" s="88"/>
      <c r="W39" s="88"/>
      <c r="X39" s="87"/>
      <c r="Y39" s="84" t="s">
        <v>151</v>
      </c>
      <c r="Z39" s="84">
        <v>0</v>
      </c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spans="2:42" x14ac:dyDescent="0.3">
      <c r="B40" s="140"/>
      <c r="C40" s="133"/>
      <c r="D40" s="137"/>
      <c r="E40" s="141"/>
      <c r="F40" s="137"/>
      <c r="G40" s="137"/>
      <c r="H40" s="133"/>
      <c r="I40" s="133"/>
      <c r="J40" s="133"/>
      <c r="K40" s="133"/>
      <c r="L40" s="133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spans="2:42" x14ac:dyDescent="0.3">
      <c r="B41" s="133"/>
      <c r="C41" s="140"/>
      <c r="D41" s="137"/>
      <c r="E41" s="141"/>
      <c r="F41" s="137"/>
      <c r="G41" s="137"/>
      <c r="H41" s="133"/>
      <c r="I41" s="133"/>
      <c r="J41" s="133"/>
      <c r="K41" s="133"/>
      <c r="L41" s="133"/>
      <c r="T41" s="72"/>
      <c r="U41" s="89" t="s">
        <v>323</v>
      </c>
      <c r="V41" s="89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spans="2:42" x14ac:dyDescent="0.3"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spans="2:42" x14ac:dyDescent="0.3">
      <c r="B43" s="135"/>
      <c r="C43" s="135"/>
      <c r="D43" s="135"/>
      <c r="E43" s="133"/>
      <c r="F43" s="133"/>
      <c r="G43" s="133"/>
      <c r="H43" s="133"/>
      <c r="I43" s="133"/>
      <c r="J43" s="133"/>
      <c r="K43" s="133"/>
      <c r="L43" s="133"/>
      <c r="T43" s="72"/>
      <c r="U43" s="72" t="s">
        <v>322</v>
      </c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spans="2:42" x14ac:dyDescent="0.3"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</row>
    <row r="45" spans="2:42" x14ac:dyDescent="0.3">
      <c r="B45" s="133"/>
      <c r="C45" s="133"/>
      <c r="D45" s="137"/>
      <c r="E45" s="141"/>
      <c r="F45" s="137"/>
      <c r="G45" s="137"/>
      <c r="H45" s="133"/>
      <c r="I45" s="133"/>
      <c r="J45" s="133"/>
      <c r="K45" s="133"/>
      <c r="L45" s="133"/>
      <c r="T45" s="72"/>
      <c r="U45" s="90" t="s">
        <v>321</v>
      </c>
      <c r="V45" s="91"/>
      <c r="W45" s="9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</row>
    <row r="46" spans="2:42" x14ac:dyDescent="0.3">
      <c r="B46" s="133"/>
      <c r="C46" s="133"/>
      <c r="D46" s="137"/>
      <c r="E46" s="141"/>
      <c r="F46" s="137"/>
      <c r="G46" s="137"/>
      <c r="H46" s="133"/>
      <c r="I46" s="133"/>
      <c r="J46" s="133"/>
      <c r="K46" s="133"/>
      <c r="L46" s="133"/>
      <c r="T46" s="72"/>
      <c r="U46" s="93" t="s">
        <v>320</v>
      </c>
      <c r="V46" s="94" t="s">
        <v>151</v>
      </c>
      <c r="W46" s="95">
        <v>-1</v>
      </c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spans="2:42" x14ac:dyDescent="0.3"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T47" s="72"/>
      <c r="U47" s="96" t="s">
        <v>319</v>
      </c>
      <c r="V47" s="84" t="s">
        <v>151</v>
      </c>
      <c r="W47" s="97">
        <f>(V123+W124+X125)</f>
        <v>24</v>
      </c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spans="2:42" x14ac:dyDescent="0.3">
      <c r="B48" s="142"/>
      <c r="C48" s="142"/>
      <c r="D48" s="142"/>
      <c r="E48" s="133"/>
      <c r="F48" s="133"/>
      <c r="G48" s="133"/>
      <c r="H48" s="133"/>
      <c r="I48" s="133"/>
      <c r="J48" s="133"/>
      <c r="K48" s="133"/>
      <c r="L48" s="133"/>
      <c r="T48" s="72"/>
      <c r="U48" s="96" t="s">
        <v>318</v>
      </c>
      <c r="V48" s="84" t="s">
        <v>151</v>
      </c>
      <c r="W48" s="97">
        <f>(-1*V123*(W124+X125))+((X124*W125)-W124*X125)+(-1*(W123*(-1*V124)))+(X123*V125)</f>
        <v>-65</v>
      </c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spans="2:38" x14ac:dyDescent="0.3"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T49" s="72"/>
      <c r="U49" s="98" t="s">
        <v>317</v>
      </c>
      <c r="V49" s="99" t="s">
        <v>151</v>
      </c>
      <c r="W49" s="100">
        <f>V123*((W124*X125)-X124*W125)+(-1*(W123*(V124*X125-(W125*X124))))+(W13*((U14*V15)-(U15*V14)))</f>
        <v>42</v>
      </c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spans="2:38" x14ac:dyDescent="0.3"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spans="2:38" x14ac:dyDescent="0.3"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T51" s="72"/>
      <c r="U51" s="72"/>
      <c r="V51" s="72"/>
      <c r="W51" s="72"/>
      <c r="X51" s="72"/>
      <c r="Y51" s="72"/>
      <c r="Z51" s="72"/>
      <c r="AA51" s="101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spans="2:38" x14ac:dyDescent="0.3"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T52" s="161" t="s">
        <v>316</v>
      </c>
      <c r="U52" s="161"/>
      <c r="V52" s="161"/>
      <c r="W52" s="161"/>
      <c r="X52" s="161"/>
      <c r="Y52" s="161"/>
      <c r="Z52" s="161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spans="2:38" x14ac:dyDescent="0.3"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spans="2:38" x14ac:dyDescent="0.3"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T54" s="72"/>
      <c r="U54" s="71" t="s">
        <v>315</v>
      </c>
      <c r="V54" s="71"/>
      <c r="W54" s="71"/>
      <c r="X54" s="71"/>
      <c r="Y54" s="71"/>
      <c r="Z54" s="71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spans="2:38" x14ac:dyDescent="0.3"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spans="2:38" x14ac:dyDescent="0.3">
      <c r="B56" s="137"/>
      <c r="C56" s="137"/>
      <c r="D56" s="141"/>
      <c r="E56" s="133"/>
      <c r="F56" s="133"/>
      <c r="G56" s="133"/>
      <c r="H56" s="133"/>
      <c r="I56" s="133"/>
      <c r="J56" s="133"/>
      <c r="K56" s="133"/>
      <c r="L56" s="133"/>
      <c r="T56" s="72"/>
      <c r="U56" s="71" t="s">
        <v>314</v>
      </c>
      <c r="V56" s="71"/>
      <c r="W56" s="71"/>
      <c r="X56" s="71"/>
      <c r="Y56" s="71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spans="2:38" x14ac:dyDescent="0.3">
      <c r="B57" s="137"/>
      <c r="C57" s="137"/>
      <c r="D57" s="141"/>
      <c r="E57" s="133"/>
      <c r="F57" s="133"/>
      <c r="G57" s="133"/>
      <c r="H57" s="133"/>
      <c r="I57" s="133"/>
      <c r="J57" s="133"/>
      <c r="K57" s="133"/>
      <c r="L57" s="133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</row>
    <row r="58" spans="2:38" x14ac:dyDescent="0.3"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</row>
    <row r="59" spans="2:38" x14ac:dyDescent="0.3">
      <c r="B59" s="135"/>
      <c r="C59" s="135"/>
      <c r="D59" s="135"/>
      <c r="E59" s="133"/>
      <c r="F59" s="133"/>
      <c r="G59" s="133"/>
      <c r="H59" s="133"/>
      <c r="I59" s="133"/>
      <c r="J59" s="133"/>
      <c r="K59" s="133"/>
      <c r="L59" s="133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spans="2:38" x14ac:dyDescent="0.3"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T60" s="72"/>
      <c r="U60" s="71" t="s">
        <v>313</v>
      </c>
      <c r="V60" s="71"/>
      <c r="W60" s="71"/>
      <c r="X60" s="71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spans="2:38" x14ac:dyDescent="0.3">
      <c r="B61" s="133"/>
      <c r="C61" s="133"/>
      <c r="D61" s="137"/>
      <c r="E61" s="141"/>
      <c r="F61" s="137"/>
      <c r="G61" s="137"/>
      <c r="H61" s="133"/>
      <c r="I61" s="133"/>
      <c r="J61" s="133"/>
      <c r="K61" s="133"/>
      <c r="L61" s="133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spans="2:38" x14ac:dyDescent="0.3">
      <c r="B62" s="133"/>
      <c r="C62" s="133"/>
      <c r="D62" s="137"/>
      <c r="E62" s="141"/>
      <c r="F62" s="137"/>
      <c r="G62" s="137"/>
      <c r="H62" s="133"/>
      <c r="I62" s="133"/>
      <c r="J62" s="133"/>
      <c r="K62" s="133"/>
      <c r="L62" s="133"/>
      <c r="T62" s="72"/>
      <c r="U62" s="72" t="s">
        <v>253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spans="2:38" x14ac:dyDescent="0.3"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spans="2:38" x14ac:dyDescent="0.3">
      <c r="B64" s="142"/>
      <c r="C64" s="142"/>
      <c r="D64" s="142"/>
      <c r="E64" s="133"/>
      <c r="F64" s="133"/>
      <c r="G64" s="133"/>
      <c r="H64" s="133"/>
      <c r="I64" s="133"/>
      <c r="J64" s="133"/>
      <c r="K64" s="133"/>
      <c r="L64" s="133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spans="2:38" x14ac:dyDescent="0.3"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spans="2:38" x14ac:dyDescent="0.3"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spans="2:38" x14ac:dyDescent="0.3"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T67" s="72"/>
      <c r="U67" s="102" t="s">
        <v>310</v>
      </c>
      <c r="V67" s="103" t="s">
        <v>151</v>
      </c>
      <c r="W67" s="104">
        <f>(3*W46*W48-W47*W47)/(3*W46*W46)</f>
        <v>-127</v>
      </c>
      <c r="X67" s="72"/>
      <c r="Y67" s="102" t="s">
        <v>309</v>
      </c>
      <c r="Z67" s="103" t="s">
        <v>151</v>
      </c>
      <c r="AA67" s="104">
        <f>(2*W47*W47*W47-9*W46*W47*W48+27*W46*W46*W49)/(27*W46*W46*W46)</f>
        <v>-546</v>
      </c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</row>
    <row r="68" spans="2:38" x14ac:dyDescent="0.3"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</row>
    <row r="69" spans="2:38" x14ac:dyDescent="0.3"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spans="2:38" x14ac:dyDescent="0.3">
      <c r="B70" s="133"/>
      <c r="C70" s="133"/>
      <c r="D70" s="146"/>
      <c r="E70" s="133"/>
      <c r="F70" s="133"/>
      <c r="G70" s="133"/>
      <c r="H70" s="133"/>
      <c r="I70" s="133"/>
      <c r="J70" s="133"/>
      <c r="K70" s="133"/>
      <c r="L70" s="133"/>
      <c r="T70" s="72"/>
      <c r="U70" s="161" t="s">
        <v>308</v>
      </c>
      <c r="V70" s="161"/>
      <c r="W70" s="161"/>
      <c r="X70" s="161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spans="2:38" x14ac:dyDescent="0.3"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spans="2:38" x14ac:dyDescent="0.3">
      <c r="B72" s="133"/>
      <c r="C72" s="133"/>
      <c r="D72" s="141"/>
      <c r="E72" s="133"/>
      <c r="F72" s="133"/>
      <c r="G72" s="133"/>
      <c r="H72" s="133"/>
      <c r="I72" s="133"/>
      <c r="J72" s="133"/>
      <c r="K72" s="133"/>
      <c r="L72" s="133"/>
      <c r="T72" s="72"/>
      <c r="U72" s="71" t="s">
        <v>307</v>
      </c>
      <c r="V72" s="71"/>
      <c r="W72" s="71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spans="2:38" x14ac:dyDescent="0.3">
      <c r="B73" s="133"/>
      <c r="C73" s="133"/>
      <c r="D73" s="141"/>
      <c r="E73" s="133"/>
      <c r="F73" s="133"/>
      <c r="G73" s="133"/>
      <c r="H73" s="133"/>
      <c r="I73" s="133"/>
      <c r="J73" s="133"/>
      <c r="K73" s="133"/>
      <c r="L73" s="133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spans="2:38" x14ac:dyDescent="0.3"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T74" s="72"/>
      <c r="U74" s="72"/>
      <c r="V74" s="72"/>
      <c r="W74" s="105"/>
      <c r="X74" s="103" t="s">
        <v>151</v>
      </c>
      <c r="Y74" s="104">
        <f>((AA67/2)*(AA67/2))+((W67/3)*(W67/3)*(W67/3))</f>
        <v>-1337.037037037051</v>
      </c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spans="2:38" ht="21" x14ac:dyDescent="0.4">
      <c r="B75" s="147"/>
      <c r="C75" s="147"/>
      <c r="D75" s="147"/>
      <c r="E75" s="147"/>
      <c r="F75" s="147"/>
      <c r="G75" s="147"/>
      <c r="H75" s="147"/>
      <c r="I75" s="147"/>
      <c r="J75" s="147"/>
      <c r="K75" s="133"/>
      <c r="L75" s="133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spans="2:38" x14ac:dyDescent="0.3"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T76" s="72"/>
      <c r="U76" s="71" t="s">
        <v>305</v>
      </c>
      <c r="V76" s="71"/>
      <c r="W76" s="71"/>
      <c r="X76" s="71"/>
      <c r="Y76" s="71"/>
      <c r="Z76" s="71"/>
      <c r="AA76" s="71"/>
      <c r="AB76" s="71"/>
      <c r="AC76" s="72"/>
      <c r="AD76" s="72"/>
      <c r="AE76" s="72"/>
      <c r="AF76" s="72"/>
      <c r="AG76" s="153" t="s">
        <v>340</v>
      </c>
      <c r="AH76" s="153"/>
      <c r="AI76" s="153"/>
      <c r="AJ76" s="154"/>
      <c r="AK76" s="72"/>
      <c r="AL76" s="72"/>
    </row>
    <row r="77" spans="2:38" x14ac:dyDescent="0.3">
      <c r="B77" s="146"/>
      <c r="C77" s="146"/>
      <c r="D77" s="146"/>
      <c r="E77" s="146"/>
      <c r="F77" s="146"/>
      <c r="G77" s="146"/>
      <c r="H77" s="146"/>
      <c r="I77" s="133"/>
      <c r="J77" s="133"/>
      <c r="K77" s="133"/>
      <c r="L77" s="133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153"/>
      <c r="AH77" s="153"/>
      <c r="AI77" s="153"/>
      <c r="AJ77" s="154"/>
      <c r="AK77" s="72"/>
      <c r="AL77" s="72"/>
    </row>
    <row r="78" spans="2:38" x14ac:dyDescent="0.3"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T78" s="72"/>
      <c r="U78" s="71" t="s">
        <v>304</v>
      </c>
      <c r="V78" s="71"/>
      <c r="W78" s="71"/>
      <c r="X78" s="72"/>
      <c r="Y78" s="72"/>
      <c r="Z78" s="72"/>
      <c r="AA78" s="72"/>
      <c r="AB78" s="72" t="s">
        <v>303</v>
      </c>
      <c r="AC78" s="72"/>
      <c r="AD78" s="72"/>
      <c r="AE78" s="72"/>
      <c r="AF78" s="72"/>
      <c r="AG78" s="153" t="s">
        <v>341</v>
      </c>
      <c r="AH78" s="153"/>
      <c r="AI78" s="153"/>
      <c r="AJ78" s="154"/>
      <c r="AK78" s="72"/>
      <c r="AL78" s="72"/>
    </row>
    <row r="79" spans="2:38" x14ac:dyDescent="0.3"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153"/>
      <c r="AH79" s="153"/>
      <c r="AI79" s="153"/>
      <c r="AJ79" s="154"/>
      <c r="AK79" s="72"/>
      <c r="AL79" s="72"/>
    </row>
    <row r="80" spans="2:38" x14ac:dyDescent="0.3"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T80" s="72"/>
      <c r="U80" s="72"/>
      <c r="V80" s="72"/>
      <c r="W80" s="102" t="s">
        <v>302</v>
      </c>
      <c r="X80" s="103" t="s">
        <v>151</v>
      </c>
      <c r="Y80" s="104">
        <f>ACOS(-AA67/(2*AE80*AE80*AE80))</f>
        <v>0.13314718426063754</v>
      </c>
      <c r="Z80" s="72"/>
      <c r="AA80" s="72"/>
      <c r="AB80" s="72"/>
      <c r="AC80" s="102" t="s">
        <v>301</v>
      </c>
      <c r="AD80" s="103" t="s">
        <v>151</v>
      </c>
      <c r="AE80" s="104">
        <f>SQRT(-W67/3)</f>
        <v>6.5064070986477116</v>
      </c>
      <c r="AF80" s="72"/>
      <c r="AG80" s="153" t="s">
        <v>342</v>
      </c>
      <c r="AH80" s="153"/>
      <c r="AI80" s="153"/>
      <c r="AJ80" s="154"/>
      <c r="AK80" s="72"/>
      <c r="AL80" s="72"/>
    </row>
    <row r="81" spans="2:38" x14ac:dyDescent="0.3"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spans="2:38" ht="14.4" customHeight="1" x14ac:dyDescent="0.3"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T82" s="72"/>
      <c r="U82" s="106" t="s">
        <v>300</v>
      </c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7"/>
      <c r="AH82" s="72"/>
      <c r="AI82" s="72"/>
      <c r="AJ82" s="72"/>
      <c r="AK82" s="72"/>
      <c r="AL82" s="72"/>
    </row>
    <row r="83" spans="2:38" x14ac:dyDescent="0.3">
      <c r="B83" s="133"/>
      <c r="C83" s="142"/>
      <c r="D83" s="142"/>
      <c r="E83" s="142"/>
      <c r="F83" s="133"/>
      <c r="G83" s="133"/>
      <c r="H83" s="133"/>
      <c r="I83" s="133"/>
      <c r="J83" s="133"/>
      <c r="K83" s="133"/>
      <c r="L83" s="133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spans="2:38" x14ac:dyDescent="0.3">
      <c r="B84" s="133"/>
      <c r="C84" s="142"/>
      <c r="D84" s="142"/>
      <c r="E84" s="142"/>
      <c r="F84" s="142"/>
      <c r="G84" s="142"/>
      <c r="H84" s="142"/>
      <c r="I84" s="133"/>
      <c r="J84" s="133"/>
      <c r="K84" s="133"/>
      <c r="L84" s="133"/>
      <c r="T84" s="72"/>
      <c r="U84" s="75" t="s">
        <v>299</v>
      </c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spans="2:38" x14ac:dyDescent="0.3">
      <c r="B85" s="133"/>
      <c r="C85" s="142"/>
      <c r="D85" s="142"/>
      <c r="E85" s="142"/>
      <c r="F85" s="142"/>
      <c r="G85" s="142"/>
      <c r="H85" s="142"/>
      <c r="I85" s="142"/>
      <c r="J85" s="142"/>
      <c r="K85" s="133"/>
      <c r="L85" s="133"/>
      <c r="T85" s="72"/>
      <c r="U85" s="75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spans="2:38" x14ac:dyDescent="0.3">
      <c r="B86" s="133"/>
      <c r="C86" s="142"/>
      <c r="D86" s="142"/>
      <c r="E86" s="142"/>
      <c r="F86" s="133"/>
      <c r="G86" s="133"/>
      <c r="H86" s="133"/>
      <c r="I86" s="133"/>
      <c r="J86" s="133"/>
      <c r="K86" s="133"/>
      <c r="L86" s="133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spans="2:38" x14ac:dyDescent="0.3"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T87" s="72"/>
      <c r="U87" s="72"/>
      <c r="V87" s="102" t="s">
        <v>298</v>
      </c>
      <c r="W87" s="103" t="s">
        <v>151</v>
      </c>
      <c r="X87" s="104">
        <f>2*AE80*COS(Y80/3)</f>
        <v>12.999999999999998</v>
      </c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</row>
    <row r="88" spans="2:38" ht="18" x14ac:dyDescent="0.35">
      <c r="B88" s="137"/>
      <c r="C88" s="133"/>
      <c r="D88" s="133"/>
      <c r="E88" s="133"/>
      <c r="F88" s="133"/>
      <c r="G88" s="133"/>
      <c r="H88" s="148"/>
      <c r="I88" s="148"/>
      <c r="J88" s="148"/>
      <c r="K88" s="148"/>
      <c r="L88" s="148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</row>
    <row r="89" spans="2:38" x14ac:dyDescent="0.3">
      <c r="B89" s="137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spans="2:38" x14ac:dyDescent="0.3">
      <c r="B90" s="141"/>
      <c r="C90" s="133"/>
      <c r="D90" s="133"/>
      <c r="E90" s="133"/>
      <c r="F90" s="133"/>
      <c r="G90" s="133"/>
      <c r="H90" s="141"/>
      <c r="I90" s="141"/>
      <c r="J90" s="133"/>
      <c r="K90" s="133"/>
      <c r="L90" s="133"/>
      <c r="T90" s="72"/>
      <c r="U90" s="75" t="s">
        <v>297</v>
      </c>
      <c r="V90" s="72"/>
      <c r="W90" s="72"/>
      <c r="X90" s="72"/>
      <c r="Y90" s="72"/>
      <c r="Z90" s="84" t="s">
        <v>296</v>
      </c>
      <c r="AA90" s="84" t="s">
        <v>151</v>
      </c>
      <c r="AB90" s="89">
        <f>3.14159265359</f>
        <v>3.1415926535900001</v>
      </c>
      <c r="AC90" s="89"/>
      <c r="AD90" s="72"/>
      <c r="AE90" s="72"/>
      <c r="AF90" s="72"/>
      <c r="AG90" s="72"/>
      <c r="AH90" s="72"/>
      <c r="AI90" s="72"/>
      <c r="AJ90" s="72"/>
      <c r="AK90" s="72"/>
      <c r="AL90" s="72"/>
    </row>
    <row r="91" spans="2:38" x14ac:dyDescent="0.3">
      <c r="B91" s="141"/>
      <c r="C91" s="141"/>
      <c r="D91" s="141"/>
      <c r="E91" s="141"/>
      <c r="F91" s="133"/>
      <c r="G91" s="133"/>
      <c r="H91" s="133"/>
      <c r="I91" s="133"/>
      <c r="J91" s="133"/>
      <c r="K91" s="133"/>
      <c r="L91" s="133"/>
      <c r="T91" s="72"/>
      <c r="U91" s="75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spans="2:38" x14ac:dyDescent="0.3">
      <c r="B92" s="141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spans="2:38" x14ac:dyDescent="0.3">
      <c r="B93" s="137"/>
      <c r="C93" s="133"/>
      <c r="D93" s="133"/>
      <c r="E93" s="133"/>
      <c r="F93" s="133"/>
      <c r="G93" s="133"/>
      <c r="H93" s="149"/>
      <c r="I93" s="141"/>
      <c r="J93" s="133"/>
      <c r="K93" s="133"/>
      <c r="L93" s="133"/>
      <c r="T93" s="72"/>
      <c r="U93" s="72"/>
      <c r="V93" s="102" t="s">
        <v>294</v>
      </c>
      <c r="W93" s="103" t="s">
        <v>151</v>
      </c>
      <c r="X93" s="104">
        <f>2*AE80*COS((Y80+2*AB90)/3)</f>
        <v>-7.0000000000015152</v>
      </c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spans="2:38" x14ac:dyDescent="0.3">
      <c r="B94" s="137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spans="2:38" x14ac:dyDescent="0.3">
      <c r="B95" s="141"/>
      <c r="C95" s="133"/>
      <c r="D95" s="133"/>
      <c r="E95" s="133"/>
      <c r="F95" s="133"/>
      <c r="G95" s="133"/>
      <c r="H95" s="141"/>
      <c r="I95" s="141"/>
      <c r="J95" s="133"/>
      <c r="K95" s="133"/>
      <c r="L95" s="133"/>
      <c r="T95" s="72"/>
      <c r="U95" s="75" t="s">
        <v>293</v>
      </c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spans="2:38" x14ac:dyDescent="0.3">
      <c r="B96" s="137"/>
      <c r="C96" s="133"/>
      <c r="D96" s="133"/>
      <c r="E96" s="133"/>
      <c r="F96" s="133"/>
      <c r="G96" s="133"/>
      <c r="H96" s="141"/>
      <c r="I96" s="133"/>
      <c r="J96" s="133"/>
      <c r="K96" s="133"/>
      <c r="L96" s="133"/>
      <c r="T96" s="72"/>
      <c r="U96" s="75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</row>
    <row r="97" spans="2:38" x14ac:dyDescent="0.3">
      <c r="B97" s="137"/>
      <c r="C97" s="133"/>
      <c r="D97" s="133"/>
      <c r="E97" s="133"/>
      <c r="F97" s="133"/>
      <c r="G97" s="133"/>
      <c r="H97" s="141"/>
      <c r="I97" s="133"/>
      <c r="J97" s="133"/>
      <c r="K97" s="133"/>
      <c r="L97" s="133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</row>
    <row r="98" spans="2:38" x14ac:dyDescent="0.3">
      <c r="B98" s="141"/>
      <c r="C98" s="133"/>
      <c r="D98" s="133"/>
      <c r="E98" s="133"/>
      <c r="F98" s="133"/>
      <c r="G98" s="133"/>
      <c r="H98" s="141"/>
      <c r="I98" s="141"/>
      <c r="J98" s="133"/>
      <c r="K98" s="133"/>
      <c r="L98" s="133"/>
      <c r="T98" s="72"/>
      <c r="U98" s="72"/>
      <c r="V98" s="102" t="s">
        <v>292</v>
      </c>
      <c r="W98" s="103" t="s">
        <v>151</v>
      </c>
      <c r="X98" s="104">
        <f>2*AE80*COS((Y80+4*AB90)/3)</f>
        <v>-5.9999999999968132</v>
      </c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spans="2:38" x14ac:dyDescent="0.3">
      <c r="B99" s="141"/>
      <c r="C99" s="133"/>
      <c r="D99" s="133"/>
      <c r="E99" s="133"/>
      <c r="F99" s="133"/>
      <c r="G99" s="133"/>
      <c r="H99" s="141"/>
      <c r="I99" s="141"/>
      <c r="J99" s="133"/>
      <c r="K99" s="133"/>
      <c r="L99" s="133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spans="2:38" x14ac:dyDescent="0.3">
      <c r="B100" s="141"/>
      <c r="C100" s="133"/>
      <c r="D100" s="133"/>
      <c r="E100" s="133"/>
      <c r="F100" s="133"/>
      <c r="G100" s="133"/>
      <c r="H100" s="141"/>
      <c r="I100" s="141"/>
      <c r="J100" s="133"/>
      <c r="K100" s="133"/>
      <c r="L100" s="133"/>
      <c r="T100" s="72"/>
      <c r="U100" s="71" t="s">
        <v>291</v>
      </c>
      <c r="V100" s="71"/>
      <c r="W100" s="71"/>
      <c r="X100" s="71"/>
      <c r="Y100" s="71"/>
      <c r="Z100" s="71"/>
      <c r="AA100" s="71"/>
      <c r="AB100" s="71"/>
      <c r="AC100" s="71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spans="2:38" x14ac:dyDescent="0.3">
      <c r="B101" s="141"/>
      <c r="C101" s="133"/>
      <c r="D101" s="133"/>
      <c r="E101" s="133"/>
      <c r="F101" s="133"/>
      <c r="G101" s="133"/>
      <c r="H101" s="141"/>
      <c r="I101" s="141"/>
      <c r="J101" s="133"/>
      <c r="K101" s="133"/>
      <c r="L101" s="133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spans="2:38" x14ac:dyDescent="0.3">
      <c r="B102" s="137"/>
      <c r="C102" s="133"/>
      <c r="D102" s="133"/>
      <c r="E102" s="133"/>
      <c r="F102" s="133"/>
      <c r="G102" s="133"/>
      <c r="H102" s="141"/>
      <c r="I102" s="133"/>
      <c r="J102" s="133"/>
      <c r="K102" s="133"/>
      <c r="L102" s="133"/>
      <c r="T102" s="72"/>
      <c r="U102" s="72"/>
      <c r="V102" s="72"/>
      <c r="W102" s="72"/>
      <c r="X102" s="72"/>
      <c r="Y102" s="75" t="s">
        <v>151</v>
      </c>
      <c r="Z102" s="75">
        <f>W47/(3*W46)</f>
        <v>-8</v>
      </c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spans="2:38" x14ac:dyDescent="0.3">
      <c r="B103" s="137"/>
      <c r="C103" s="133"/>
      <c r="D103" s="133"/>
      <c r="E103" s="133"/>
      <c r="F103" s="133"/>
      <c r="G103" s="133"/>
      <c r="H103" s="141"/>
      <c r="I103" s="133"/>
      <c r="J103" s="133"/>
      <c r="K103" s="133"/>
      <c r="L103" s="133"/>
      <c r="T103" s="72"/>
      <c r="U103" s="72"/>
      <c r="V103" s="72"/>
      <c r="W103" s="72"/>
      <c r="X103" s="72"/>
      <c r="Y103" s="75"/>
      <c r="Z103" s="75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spans="2:38" x14ac:dyDescent="0.3">
      <c r="B104" s="133"/>
      <c r="C104" s="133"/>
      <c r="D104" s="133"/>
      <c r="E104" s="133"/>
      <c r="F104" s="133"/>
      <c r="G104" s="133"/>
      <c r="H104" s="141"/>
      <c r="I104" s="141"/>
      <c r="J104" s="133"/>
      <c r="K104" s="133"/>
      <c r="L104" s="133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spans="2:38" x14ac:dyDescent="0.3">
      <c r="B105" s="133"/>
      <c r="C105" s="133"/>
      <c r="D105" s="133"/>
      <c r="E105" s="133"/>
      <c r="F105" s="133"/>
      <c r="G105" s="133"/>
      <c r="H105" s="141"/>
      <c r="I105" s="133"/>
      <c r="J105" s="133"/>
      <c r="K105" s="133"/>
      <c r="L105" s="133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spans="2:38" x14ac:dyDescent="0.3">
      <c r="B106" s="133"/>
      <c r="C106" s="133"/>
      <c r="D106" s="133"/>
      <c r="E106" s="133"/>
      <c r="F106" s="133"/>
      <c r="G106" s="133"/>
      <c r="H106" s="141"/>
      <c r="I106" s="141"/>
      <c r="J106" s="135"/>
      <c r="K106" s="135"/>
      <c r="L106" s="135"/>
      <c r="T106" s="72"/>
      <c r="U106" s="108" t="s">
        <v>289</v>
      </c>
      <c r="V106" s="94" t="s">
        <v>151</v>
      </c>
      <c r="W106" s="95">
        <f>ROUND(X87-Z102,0)</f>
        <v>21</v>
      </c>
      <c r="X106" s="72"/>
      <c r="Y106" s="72"/>
      <c r="Z106" s="152"/>
      <c r="AA106" s="152"/>
      <c r="AB106" s="109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</row>
    <row r="107" spans="2:38" x14ac:dyDescent="0.3">
      <c r="B107" s="133"/>
      <c r="C107" s="133"/>
      <c r="D107" s="133"/>
      <c r="E107" s="133"/>
      <c r="F107" s="133"/>
      <c r="G107" s="133"/>
      <c r="H107" s="141"/>
      <c r="I107" s="133"/>
      <c r="J107" s="133"/>
      <c r="K107" s="133"/>
      <c r="L107" s="133"/>
      <c r="T107" s="72"/>
      <c r="U107" s="110" t="s">
        <v>288</v>
      </c>
      <c r="V107" s="84" t="s">
        <v>151</v>
      </c>
      <c r="W107" s="97">
        <f>ROUND(X93-Z102,0)</f>
        <v>1</v>
      </c>
      <c r="X107" s="72"/>
      <c r="Y107" s="72"/>
      <c r="Z107" s="152"/>
      <c r="AA107" s="152"/>
      <c r="AB107" s="109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</row>
    <row r="108" spans="2:38" x14ac:dyDescent="0.3">
      <c r="B108" s="133"/>
      <c r="C108" s="133"/>
      <c r="D108" s="133"/>
      <c r="E108" s="133"/>
      <c r="F108" s="133"/>
      <c r="G108" s="133"/>
      <c r="H108" s="137"/>
      <c r="I108" s="137"/>
      <c r="J108" s="133"/>
      <c r="K108" s="133"/>
      <c r="L108" s="133"/>
      <c r="T108" s="72"/>
      <c r="U108" s="111" t="s">
        <v>287</v>
      </c>
      <c r="V108" s="99" t="s">
        <v>151</v>
      </c>
      <c r="W108" s="100">
        <f>ROUND(X98-Z102,0)</f>
        <v>2</v>
      </c>
      <c r="X108" s="72"/>
      <c r="Y108" s="72"/>
      <c r="Z108" s="152"/>
      <c r="AA108" s="15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spans="2:38" x14ac:dyDescent="0.3">
      <c r="B109" s="133"/>
      <c r="C109" s="133"/>
      <c r="D109" s="133"/>
      <c r="E109" s="133"/>
      <c r="F109" s="133"/>
      <c r="G109" s="133"/>
      <c r="H109" s="137"/>
      <c r="I109" s="137"/>
      <c r="J109" s="133"/>
      <c r="K109" s="133"/>
      <c r="L109" s="133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spans="2:38" x14ac:dyDescent="0.3"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spans="2:38" x14ac:dyDescent="0.3"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T111" s="161" t="s">
        <v>286</v>
      </c>
      <c r="U111" s="161"/>
      <c r="V111" s="161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spans="2:38" x14ac:dyDescent="0.3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spans="2:38" x14ac:dyDescent="0.3"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T113" s="72"/>
      <c r="U113" s="89" t="s">
        <v>285</v>
      </c>
      <c r="V113" s="89"/>
      <c r="W113" s="89"/>
      <c r="X113" s="89"/>
      <c r="Y113" s="89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spans="2:38" x14ac:dyDescent="0.3"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</row>
    <row r="115" spans="2:38" x14ac:dyDescent="0.3">
      <c r="B115" s="141"/>
      <c r="C115" s="150"/>
      <c r="D115" s="150"/>
      <c r="E115" s="133"/>
      <c r="F115" s="133"/>
      <c r="G115" s="133"/>
      <c r="H115" s="133"/>
      <c r="I115" s="133"/>
      <c r="J115" s="133"/>
      <c r="K115" s="133"/>
      <c r="L115" s="133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</row>
    <row r="116" spans="2:38" x14ac:dyDescent="0.3"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spans="2:38" x14ac:dyDescent="0.3">
      <c r="B117" s="141"/>
      <c r="C117" s="141"/>
      <c r="D117" s="135"/>
      <c r="E117" s="135"/>
      <c r="F117" s="141"/>
      <c r="G117" s="135"/>
      <c r="H117" s="135"/>
      <c r="I117" s="141"/>
      <c r="J117" s="135"/>
      <c r="K117" s="135"/>
      <c r="L117" s="133"/>
      <c r="T117" s="72"/>
      <c r="U117" s="72"/>
      <c r="V117" s="112" t="s">
        <v>83</v>
      </c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spans="2:38" x14ac:dyDescent="0.3">
      <c r="B118" s="133"/>
      <c r="C118" s="133"/>
      <c r="D118" s="133"/>
      <c r="E118" s="133"/>
      <c r="F118" s="137"/>
      <c r="G118" s="133"/>
      <c r="H118" s="133"/>
      <c r="I118" s="137"/>
      <c r="J118" s="133"/>
      <c r="K118" s="133"/>
      <c r="L118" s="133"/>
      <c r="T118" s="72"/>
      <c r="U118" s="72" t="s">
        <v>284</v>
      </c>
      <c r="V118" s="112" t="s">
        <v>84</v>
      </c>
      <c r="W118" s="113" t="s">
        <v>283</v>
      </c>
      <c r="X118" s="89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spans="2:38" x14ac:dyDescent="0.3">
      <c r="B119" s="133"/>
      <c r="C119" s="133"/>
      <c r="D119" s="133"/>
      <c r="E119" s="133"/>
      <c r="F119" s="137"/>
      <c r="G119" s="133"/>
      <c r="H119" s="133"/>
      <c r="I119" s="137"/>
      <c r="J119" s="133"/>
      <c r="K119" s="133"/>
      <c r="L119" s="133"/>
      <c r="T119" s="72"/>
      <c r="U119" s="72"/>
      <c r="V119" s="112" t="s">
        <v>85</v>
      </c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spans="2:38" x14ac:dyDescent="0.3"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spans="2:38" x14ac:dyDescent="0.3">
      <c r="B121" s="141"/>
      <c r="C121" s="141"/>
      <c r="D121" s="135"/>
      <c r="E121" s="135"/>
      <c r="F121" s="141"/>
      <c r="G121" s="135"/>
      <c r="H121" s="135"/>
      <c r="I121" s="133"/>
      <c r="J121" s="133"/>
      <c r="K121" s="133"/>
      <c r="L121" s="133"/>
      <c r="T121" s="72"/>
      <c r="U121" s="89" t="s">
        <v>281</v>
      </c>
      <c r="V121" s="89"/>
      <c r="W121" s="89"/>
      <c r="X121" s="89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spans="2:38" x14ac:dyDescent="0.3">
      <c r="B122" s="133"/>
      <c r="C122" s="133"/>
      <c r="D122" s="133"/>
      <c r="E122" s="133"/>
      <c r="F122" s="137"/>
      <c r="G122" s="133"/>
      <c r="H122" s="133"/>
      <c r="I122" s="133"/>
      <c r="J122" s="133"/>
      <c r="K122" s="133"/>
      <c r="L122" s="133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spans="2:38" ht="14.4" customHeight="1" x14ac:dyDescent="0.3">
      <c r="B123" s="133"/>
      <c r="C123" s="133"/>
      <c r="D123" s="133"/>
      <c r="E123" s="133"/>
      <c r="F123" s="137"/>
      <c r="G123" s="133"/>
      <c r="H123" s="133"/>
      <c r="I123" s="133"/>
      <c r="J123" s="133"/>
      <c r="K123" s="133"/>
      <c r="L123" s="133"/>
      <c r="T123" s="72"/>
      <c r="U123" s="114" t="s">
        <v>274</v>
      </c>
      <c r="V123" s="74">
        <f>U9</f>
        <v>2</v>
      </c>
      <c r="W123" s="74">
        <f>V9</f>
        <v>1</v>
      </c>
      <c r="X123" s="74">
        <f>W9</f>
        <v>3</v>
      </c>
      <c r="Y123" s="115" t="s">
        <v>280</v>
      </c>
      <c r="Z123" s="116" t="s">
        <v>279</v>
      </c>
      <c r="AA123" s="74">
        <v>1</v>
      </c>
      <c r="AB123" s="74">
        <v>0</v>
      </c>
      <c r="AC123" s="74">
        <v>0</v>
      </c>
      <c r="AD123" s="117" t="s">
        <v>273</v>
      </c>
      <c r="AE123" s="112" t="s">
        <v>83</v>
      </c>
      <c r="AF123" s="118" t="s">
        <v>151</v>
      </c>
      <c r="AG123" s="112">
        <v>0</v>
      </c>
      <c r="AH123" s="72"/>
      <c r="AI123" s="72"/>
      <c r="AJ123" s="72"/>
      <c r="AK123" s="72"/>
      <c r="AL123" s="72"/>
    </row>
    <row r="124" spans="2:38" ht="14.4" customHeight="1" x14ac:dyDescent="0.3">
      <c r="B124" s="141"/>
      <c r="C124" s="141"/>
      <c r="D124" s="133"/>
      <c r="E124" s="133"/>
      <c r="F124" s="133"/>
      <c r="G124" s="133"/>
      <c r="H124" s="133"/>
      <c r="I124" s="133"/>
      <c r="J124" s="133"/>
      <c r="K124" s="133"/>
      <c r="L124" s="133"/>
      <c r="T124" s="72"/>
      <c r="U124" s="114"/>
      <c r="V124" s="74">
        <f>U10</f>
        <v>1</v>
      </c>
      <c r="W124" s="74">
        <f>V10</f>
        <v>2</v>
      </c>
      <c r="X124" s="74">
        <f>W10</f>
        <v>3</v>
      </c>
      <c r="Y124" s="115"/>
      <c r="Z124" s="116"/>
      <c r="AA124" s="74">
        <v>0</v>
      </c>
      <c r="AB124" s="74">
        <v>1</v>
      </c>
      <c r="AC124" s="74">
        <v>0</v>
      </c>
      <c r="AD124" s="117"/>
      <c r="AE124" s="112" t="s">
        <v>84</v>
      </c>
      <c r="AF124" s="118"/>
      <c r="AG124" s="112">
        <v>0</v>
      </c>
      <c r="AH124" s="72"/>
      <c r="AI124" s="72"/>
      <c r="AJ124" s="72"/>
      <c r="AK124" s="72"/>
      <c r="AL124" s="72"/>
    </row>
    <row r="125" spans="2:38" ht="14.4" customHeight="1" x14ac:dyDescent="0.3">
      <c r="B125" s="133"/>
      <c r="C125" s="137"/>
      <c r="D125" s="133"/>
      <c r="E125" s="133"/>
      <c r="F125" s="133"/>
      <c r="G125" s="133"/>
      <c r="H125" s="133"/>
      <c r="I125" s="133"/>
      <c r="J125" s="133"/>
      <c r="K125" s="133"/>
      <c r="L125" s="133"/>
      <c r="T125" s="72"/>
      <c r="U125" s="114"/>
      <c r="V125" s="74">
        <f>U11</f>
        <v>3</v>
      </c>
      <c r="W125" s="74">
        <f>V11</f>
        <v>3</v>
      </c>
      <c r="X125" s="74">
        <f>W11</f>
        <v>20</v>
      </c>
      <c r="Y125" s="115"/>
      <c r="Z125" s="116"/>
      <c r="AA125" s="74">
        <v>0</v>
      </c>
      <c r="AB125" s="74">
        <v>0</v>
      </c>
      <c r="AC125" s="74">
        <v>1</v>
      </c>
      <c r="AD125" s="117"/>
      <c r="AE125" s="112" t="s">
        <v>85</v>
      </c>
      <c r="AF125" s="118"/>
      <c r="AG125" s="112">
        <v>0</v>
      </c>
      <c r="AH125" s="72"/>
      <c r="AI125" s="72"/>
      <c r="AJ125" s="72"/>
      <c r="AK125" s="72"/>
      <c r="AL125" s="72"/>
    </row>
    <row r="126" spans="2:38" x14ac:dyDescent="0.3">
      <c r="B126" s="133"/>
      <c r="C126" s="137"/>
      <c r="D126" s="133"/>
      <c r="E126" s="133"/>
      <c r="F126" s="133"/>
      <c r="G126" s="133"/>
      <c r="H126" s="133"/>
      <c r="I126" s="133"/>
      <c r="J126" s="133"/>
      <c r="K126" s="133"/>
      <c r="L126" s="133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</row>
    <row r="127" spans="2:38" ht="14.4" customHeight="1" x14ac:dyDescent="0.3"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T127" s="72"/>
      <c r="U127" s="114" t="s">
        <v>274</v>
      </c>
      <c r="V127" s="74">
        <f>V123</f>
        <v>2</v>
      </c>
      <c r="W127" s="74">
        <f>W123</f>
        <v>1</v>
      </c>
      <c r="X127" s="74">
        <f>X123</f>
        <v>3</v>
      </c>
      <c r="Y127" s="118" t="s">
        <v>280</v>
      </c>
      <c r="Z127" s="78" t="s">
        <v>279</v>
      </c>
      <c r="AA127" s="74">
        <v>0</v>
      </c>
      <c r="AB127" s="74">
        <v>0</v>
      </c>
      <c r="AC127" s="117" t="s">
        <v>273</v>
      </c>
      <c r="AD127" s="112" t="s">
        <v>83</v>
      </c>
      <c r="AE127" s="118" t="s">
        <v>151</v>
      </c>
      <c r="AF127" s="112">
        <v>0</v>
      </c>
      <c r="AG127" s="72"/>
      <c r="AH127" s="72"/>
      <c r="AI127" s="72"/>
      <c r="AJ127" s="72"/>
      <c r="AK127" s="72"/>
      <c r="AL127" s="72"/>
    </row>
    <row r="128" spans="2:38" ht="14.4" customHeight="1" x14ac:dyDescent="0.3"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T128" s="72"/>
      <c r="U128" s="114"/>
      <c r="V128" s="74">
        <f>V124</f>
        <v>1</v>
      </c>
      <c r="W128" s="74">
        <f>W124</f>
        <v>2</v>
      </c>
      <c r="X128" s="74">
        <f>X124</f>
        <v>3</v>
      </c>
      <c r="Y128" s="118"/>
      <c r="Z128" s="74">
        <v>0</v>
      </c>
      <c r="AA128" s="78" t="s">
        <v>279</v>
      </c>
      <c r="AB128" s="74">
        <v>0</v>
      </c>
      <c r="AC128" s="117"/>
      <c r="AD128" s="112" t="s">
        <v>84</v>
      </c>
      <c r="AE128" s="118"/>
      <c r="AF128" s="112">
        <v>0</v>
      </c>
      <c r="AG128" s="72"/>
      <c r="AH128" s="72"/>
      <c r="AI128" s="72"/>
      <c r="AJ128" s="72"/>
      <c r="AK128" s="72"/>
      <c r="AL128" s="72"/>
    </row>
    <row r="129" spans="2:48" ht="14.4" customHeight="1" x14ac:dyDescent="0.3"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T129" s="72"/>
      <c r="U129" s="114"/>
      <c r="V129" s="74">
        <f>V125</f>
        <v>3</v>
      </c>
      <c r="W129" s="74">
        <f>W125</f>
        <v>3</v>
      </c>
      <c r="X129" s="74">
        <f>X125</f>
        <v>20</v>
      </c>
      <c r="Y129" s="118"/>
      <c r="Z129" s="74">
        <v>0</v>
      </c>
      <c r="AA129" s="74">
        <v>0</v>
      </c>
      <c r="AB129" s="78" t="s">
        <v>279</v>
      </c>
      <c r="AC129" s="117"/>
      <c r="AD129" s="112" t="s">
        <v>85</v>
      </c>
      <c r="AE129" s="118"/>
      <c r="AF129" s="112">
        <v>0</v>
      </c>
      <c r="AG129" s="72"/>
      <c r="AH129" s="72"/>
      <c r="AI129" s="72"/>
      <c r="AJ129" s="72"/>
      <c r="AK129" s="72"/>
      <c r="AL129" s="72"/>
    </row>
    <row r="130" spans="2:48" ht="14.4" customHeight="1" x14ac:dyDescent="0.3"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spans="2:48" ht="14.4" customHeight="1" x14ac:dyDescent="0.3"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T131" s="72"/>
      <c r="U131" s="114" t="s">
        <v>274</v>
      </c>
      <c r="V131" s="79" t="str">
        <f>V127&amp;"-"&amp;Z127</f>
        <v>2-λ</v>
      </c>
      <c r="W131" s="74">
        <v>1</v>
      </c>
      <c r="X131" s="74">
        <v>3</v>
      </c>
      <c r="Y131" s="117" t="s">
        <v>273</v>
      </c>
      <c r="Z131" s="112" t="s">
        <v>83</v>
      </c>
      <c r="AA131" s="118" t="s">
        <v>151</v>
      </c>
      <c r="AB131" s="112">
        <v>0</v>
      </c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spans="2:48" ht="14.4" customHeight="1" x14ac:dyDescent="0.3"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T132" s="72"/>
      <c r="U132" s="114"/>
      <c r="V132" s="74">
        <v>1</v>
      </c>
      <c r="W132" s="79" t="str">
        <f>W128&amp;"-"&amp;AA128</f>
        <v>2-λ</v>
      </c>
      <c r="X132" s="74">
        <v>3</v>
      </c>
      <c r="Y132" s="117"/>
      <c r="Z132" s="112" t="s">
        <v>84</v>
      </c>
      <c r="AA132" s="118"/>
      <c r="AB132" s="112">
        <v>0</v>
      </c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spans="2:48" ht="14.4" customHeight="1" x14ac:dyDescent="0.3"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T133" s="72"/>
      <c r="U133" s="114"/>
      <c r="V133" s="74">
        <v>3</v>
      </c>
      <c r="W133" s="74">
        <v>3</v>
      </c>
      <c r="X133" s="79" t="str">
        <f>X129&amp;"-"&amp;AB129</f>
        <v>20-λ</v>
      </c>
      <c r="Y133" s="117"/>
      <c r="Z133" s="112" t="s">
        <v>85</v>
      </c>
      <c r="AA133" s="118"/>
      <c r="AB133" s="112">
        <v>0</v>
      </c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spans="2:48" x14ac:dyDescent="0.3"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spans="2:48" x14ac:dyDescent="0.3"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</row>
    <row r="136" spans="2:48" x14ac:dyDescent="0.3"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T136" s="71" t="s">
        <v>278</v>
      </c>
      <c r="U136" s="71"/>
      <c r="V136" s="71"/>
      <c r="W136" s="71"/>
      <c r="X136" s="71"/>
      <c r="Y136" s="71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</row>
    <row r="137" spans="2:48" x14ac:dyDescent="0.3"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spans="2:48" x14ac:dyDescent="0.3"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T138" s="72"/>
      <c r="U138" s="55" t="s">
        <v>277</v>
      </c>
      <c r="V138" s="55"/>
      <c r="W138" s="55"/>
      <c r="X138" s="72"/>
      <c r="Y138" s="72"/>
      <c r="Z138" s="72"/>
      <c r="AA138" s="72"/>
      <c r="AB138" s="72"/>
      <c r="AC138" s="72"/>
      <c r="AD138" s="72"/>
      <c r="AE138" s="55" t="s">
        <v>276</v>
      </c>
      <c r="AF138" s="55"/>
      <c r="AG138" s="55"/>
      <c r="AH138" s="72"/>
      <c r="AI138" s="72"/>
      <c r="AJ138" s="72"/>
      <c r="AK138" s="72"/>
      <c r="AL138" s="72"/>
      <c r="AO138" s="89" t="s">
        <v>275</v>
      </c>
      <c r="AP138" s="89"/>
      <c r="AQ138" s="89"/>
    </row>
    <row r="139" spans="2:48" x14ac:dyDescent="0.3"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spans="2:48" ht="14.4" customHeight="1" x14ac:dyDescent="0.3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T140" s="72"/>
      <c r="U140" s="114" t="s">
        <v>274</v>
      </c>
      <c r="V140" s="74">
        <f>V123-W106</f>
        <v>-19</v>
      </c>
      <c r="W140" s="74">
        <f>W123</f>
        <v>1</v>
      </c>
      <c r="X140" s="74">
        <f>X123</f>
        <v>3</v>
      </c>
      <c r="Y140" s="117" t="s">
        <v>273</v>
      </c>
      <c r="Z140" s="112" t="s">
        <v>83</v>
      </c>
      <c r="AA140" s="118" t="s">
        <v>151</v>
      </c>
      <c r="AB140" s="112">
        <v>0</v>
      </c>
      <c r="AC140" s="72"/>
      <c r="AD140" s="72"/>
      <c r="AE140" s="114" t="s">
        <v>274</v>
      </c>
      <c r="AF140" s="74">
        <f>V123-W107</f>
        <v>1</v>
      </c>
      <c r="AG140" s="74">
        <f>W127</f>
        <v>1</v>
      </c>
      <c r="AH140" s="74">
        <f>X123</f>
        <v>3</v>
      </c>
      <c r="AI140" s="117" t="s">
        <v>273</v>
      </c>
      <c r="AJ140" s="112" t="s">
        <v>83</v>
      </c>
      <c r="AK140" s="118" t="s">
        <v>151</v>
      </c>
      <c r="AL140" s="112">
        <v>0</v>
      </c>
      <c r="AO140" s="60" t="s">
        <v>274</v>
      </c>
      <c r="AP140" s="31">
        <f>ROUND(V127-W108,10)</f>
        <v>0</v>
      </c>
      <c r="AQ140" s="31">
        <f>W123</f>
        <v>1</v>
      </c>
      <c r="AR140" s="31">
        <f>X123</f>
        <v>3</v>
      </c>
      <c r="AS140" s="61" t="s">
        <v>273</v>
      </c>
      <c r="AT140" s="35" t="s">
        <v>83</v>
      </c>
      <c r="AU140" s="54" t="s">
        <v>151</v>
      </c>
      <c r="AV140" s="35">
        <v>0</v>
      </c>
    </row>
    <row r="141" spans="2:48" ht="14.4" customHeight="1" x14ac:dyDescent="0.3"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T141" s="72"/>
      <c r="U141" s="114"/>
      <c r="V141" s="74">
        <f>V124</f>
        <v>1</v>
      </c>
      <c r="W141" s="74">
        <f>W124-W106</f>
        <v>-19</v>
      </c>
      <c r="X141" s="74">
        <f>X128</f>
        <v>3</v>
      </c>
      <c r="Y141" s="117"/>
      <c r="Z141" s="112" t="s">
        <v>84</v>
      </c>
      <c r="AA141" s="118"/>
      <c r="AB141" s="112">
        <v>0</v>
      </c>
      <c r="AC141" s="72"/>
      <c r="AD141" s="72"/>
      <c r="AE141" s="114"/>
      <c r="AF141" s="74">
        <f>V128</f>
        <v>1</v>
      </c>
      <c r="AG141" s="74">
        <f>W128-W107</f>
        <v>1</v>
      </c>
      <c r="AH141" s="74">
        <f>X124</f>
        <v>3</v>
      </c>
      <c r="AI141" s="117"/>
      <c r="AJ141" s="112" t="s">
        <v>84</v>
      </c>
      <c r="AK141" s="118"/>
      <c r="AL141" s="112">
        <v>0</v>
      </c>
      <c r="AO141" s="60"/>
      <c r="AP141" s="31">
        <f>V124</f>
        <v>1</v>
      </c>
      <c r="AQ141" s="31">
        <f>ROUND(W124-W108,10)</f>
        <v>0</v>
      </c>
      <c r="AR141" s="31">
        <f>X124</f>
        <v>3</v>
      </c>
      <c r="AS141" s="61"/>
      <c r="AT141" s="35" t="s">
        <v>84</v>
      </c>
      <c r="AU141" s="54"/>
      <c r="AV141" s="35">
        <v>0</v>
      </c>
    </row>
    <row r="142" spans="2:48" ht="14.4" customHeight="1" x14ac:dyDescent="0.3"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T142" s="72"/>
      <c r="U142" s="114"/>
      <c r="V142" s="74">
        <f>V125</f>
        <v>3</v>
      </c>
      <c r="W142" s="74">
        <f>W125</f>
        <v>3</v>
      </c>
      <c r="X142" s="74">
        <f>X125-W106</f>
        <v>-1</v>
      </c>
      <c r="Y142" s="117"/>
      <c r="Z142" s="112" t="s">
        <v>85</v>
      </c>
      <c r="AA142" s="118"/>
      <c r="AB142" s="112">
        <v>0</v>
      </c>
      <c r="AC142" s="72"/>
      <c r="AD142" s="72"/>
      <c r="AE142" s="114"/>
      <c r="AF142" s="74">
        <f>V129</f>
        <v>3</v>
      </c>
      <c r="AG142" s="74">
        <f>W125</f>
        <v>3</v>
      </c>
      <c r="AH142" s="74">
        <f>X125-W107</f>
        <v>19</v>
      </c>
      <c r="AI142" s="117"/>
      <c r="AJ142" s="112" t="s">
        <v>85</v>
      </c>
      <c r="AK142" s="118"/>
      <c r="AL142" s="112">
        <v>0</v>
      </c>
      <c r="AO142" s="60"/>
      <c r="AP142" s="31">
        <f>V125</f>
        <v>3</v>
      </c>
      <c r="AQ142" s="31">
        <f>W125</f>
        <v>3</v>
      </c>
      <c r="AR142" s="31">
        <f>X125-W108</f>
        <v>18</v>
      </c>
      <c r="AS142" s="61"/>
      <c r="AT142" s="35" t="s">
        <v>85</v>
      </c>
      <c r="AU142" s="54"/>
      <c r="AV142" s="35">
        <v>0</v>
      </c>
    </row>
    <row r="143" spans="2:48" x14ac:dyDescent="0.3"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spans="2:48" x14ac:dyDescent="0.3"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T144" s="72"/>
      <c r="U144" s="72" t="s">
        <v>272</v>
      </c>
      <c r="V144" s="72"/>
      <c r="W144" s="72"/>
      <c r="X144" s="72"/>
      <c r="Y144" s="72"/>
      <c r="Z144" s="72"/>
      <c r="AA144" s="72"/>
      <c r="AB144" s="72"/>
      <c r="AC144" s="72"/>
      <c r="AD144" s="72"/>
      <c r="AE144" s="72" t="s">
        <v>272</v>
      </c>
      <c r="AF144" s="72"/>
      <c r="AG144" s="72"/>
      <c r="AH144" s="72"/>
      <c r="AI144" s="72"/>
      <c r="AJ144" s="72"/>
      <c r="AK144" s="72"/>
      <c r="AL144" s="72"/>
      <c r="AO144" s="52" t="s">
        <v>272</v>
      </c>
      <c r="AP144" s="52"/>
      <c r="AQ144" s="52"/>
      <c r="AR144" s="52"/>
    </row>
    <row r="145" spans="2:46" x14ac:dyDescent="0.3"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</row>
    <row r="146" spans="2:46" x14ac:dyDescent="0.3"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T146" s="72"/>
      <c r="U146" s="74">
        <f>V140</f>
        <v>-19</v>
      </c>
      <c r="V146" s="74">
        <f>W140</f>
        <v>1</v>
      </c>
      <c r="W146" s="74">
        <f>X140</f>
        <v>3</v>
      </c>
      <c r="X146" s="74">
        <f>0</f>
        <v>0</v>
      </c>
      <c r="Y146" s="72"/>
      <c r="Z146" s="72"/>
      <c r="AA146" s="72"/>
      <c r="AB146" s="72"/>
      <c r="AC146" s="72"/>
      <c r="AD146" s="72"/>
      <c r="AE146" s="74">
        <f>AF140</f>
        <v>1</v>
      </c>
      <c r="AF146" s="74">
        <f>AG140</f>
        <v>1</v>
      </c>
      <c r="AG146" s="74">
        <f>AH140</f>
        <v>3</v>
      </c>
      <c r="AH146" s="74">
        <f>0</f>
        <v>0</v>
      </c>
      <c r="AI146" s="72"/>
      <c r="AJ146" s="72"/>
      <c r="AK146" s="72"/>
      <c r="AL146" s="72"/>
      <c r="AO146" s="31">
        <f>AP140</f>
        <v>0</v>
      </c>
      <c r="AP146" s="31">
        <f>AQ140</f>
        <v>1</v>
      </c>
      <c r="AQ146" s="31">
        <f>AR140</f>
        <v>3</v>
      </c>
      <c r="AR146" s="31">
        <f>0</f>
        <v>0</v>
      </c>
    </row>
    <row r="147" spans="2:46" x14ac:dyDescent="0.3"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T147" s="72"/>
      <c r="U147" s="74">
        <f>V141</f>
        <v>1</v>
      </c>
      <c r="V147" s="74">
        <f>W141</f>
        <v>-19</v>
      </c>
      <c r="W147" s="74">
        <f>X141</f>
        <v>3</v>
      </c>
      <c r="X147" s="74">
        <f>0</f>
        <v>0</v>
      </c>
      <c r="Y147" s="72"/>
      <c r="Z147" s="72"/>
      <c r="AA147" s="72"/>
      <c r="AB147" s="72"/>
      <c r="AC147" s="72"/>
      <c r="AD147" s="72"/>
      <c r="AE147" s="74">
        <f>AF141</f>
        <v>1</v>
      </c>
      <c r="AF147" s="74">
        <f>AG141</f>
        <v>1</v>
      </c>
      <c r="AG147" s="74">
        <f>AH141</f>
        <v>3</v>
      </c>
      <c r="AH147" s="74">
        <f>0</f>
        <v>0</v>
      </c>
      <c r="AI147" s="72"/>
      <c r="AJ147" s="72"/>
      <c r="AK147" s="72"/>
      <c r="AL147" s="72"/>
      <c r="AO147" s="31">
        <f>AP141</f>
        <v>1</v>
      </c>
      <c r="AP147" s="31">
        <f>AQ141</f>
        <v>0</v>
      </c>
      <c r="AQ147" s="31">
        <f>AR141</f>
        <v>3</v>
      </c>
      <c r="AR147" s="31">
        <f>0</f>
        <v>0</v>
      </c>
    </row>
    <row r="148" spans="2:46" x14ac:dyDescent="0.3"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T148" s="72"/>
      <c r="U148" s="74">
        <f>V142</f>
        <v>3</v>
      </c>
      <c r="V148" s="74">
        <f>W142</f>
        <v>3</v>
      </c>
      <c r="W148" s="74">
        <f>X142</f>
        <v>-1</v>
      </c>
      <c r="X148" s="74">
        <f>0</f>
        <v>0</v>
      </c>
      <c r="Y148" s="72"/>
      <c r="Z148" s="72"/>
      <c r="AA148" s="72"/>
      <c r="AB148" s="72"/>
      <c r="AC148" s="72"/>
      <c r="AD148" s="72"/>
      <c r="AE148" s="74">
        <f>AF142</f>
        <v>3</v>
      </c>
      <c r="AF148" s="74">
        <f>AG142</f>
        <v>3</v>
      </c>
      <c r="AG148" s="74">
        <f>AH142</f>
        <v>19</v>
      </c>
      <c r="AH148" s="74">
        <f>0</f>
        <v>0</v>
      </c>
      <c r="AI148" s="72"/>
      <c r="AJ148" s="72"/>
      <c r="AK148" s="72"/>
      <c r="AL148" s="72"/>
      <c r="AO148" s="31">
        <f>AP142</f>
        <v>3</v>
      </c>
      <c r="AP148" s="31">
        <f>AQ142</f>
        <v>3</v>
      </c>
      <c r="AQ148" s="31">
        <f>AR142</f>
        <v>18</v>
      </c>
      <c r="AR148" s="31">
        <f>0</f>
        <v>0</v>
      </c>
    </row>
    <row r="149" spans="2:46" ht="15" customHeight="1" x14ac:dyDescent="0.3"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spans="2:46" ht="15" customHeight="1" x14ac:dyDescent="0.3"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T150" s="72"/>
      <c r="U150" s="72" t="s">
        <v>271</v>
      </c>
      <c r="V150" s="72"/>
      <c r="W150" s="72"/>
      <c r="X150" s="72"/>
      <c r="Y150" s="72"/>
      <c r="Z150" s="72"/>
      <c r="AA150" s="72"/>
      <c r="AB150" s="72"/>
      <c r="AC150" s="72"/>
      <c r="AD150" s="72"/>
      <c r="AE150" s="72" t="s">
        <v>271</v>
      </c>
      <c r="AF150" s="72"/>
      <c r="AG150" s="72"/>
      <c r="AH150" s="72"/>
      <c r="AI150" s="72"/>
      <c r="AJ150" s="72"/>
      <c r="AK150" s="72"/>
      <c r="AL150" s="72"/>
      <c r="AO150" s="50" t="s">
        <v>271</v>
      </c>
      <c r="AP150" s="50"/>
      <c r="AQ150" s="50"/>
      <c r="AR150" s="50"/>
      <c r="AS150" s="50"/>
      <c r="AT150" s="50"/>
    </row>
    <row r="151" spans="2:46" x14ac:dyDescent="0.3"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spans="2:46" ht="15" customHeight="1" x14ac:dyDescent="0.3"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T152" s="72"/>
      <c r="U152" s="74">
        <f>IF($U146=0,U148,U146)</f>
        <v>-19</v>
      </c>
      <c r="V152" s="74">
        <f>IF($U146=0,V148,V146)</f>
        <v>1</v>
      </c>
      <c r="W152" s="74">
        <f>IF($U146=0,W148,W146)</f>
        <v>3</v>
      </c>
      <c r="X152" s="74">
        <f>IF($AO146=0,X148,X146)</f>
        <v>0</v>
      </c>
      <c r="Y152" s="72"/>
      <c r="Z152" s="72"/>
      <c r="AA152" s="72"/>
      <c r="AB152" s="72"/>
      <c r="AC152" s="72"/>
      <c r="AD152" s="72"/>
      <c r="AE152" s="74">
        <f>IF($AE146=0,AE148,AE146)</f>
        <v>1</v>
      </c>
      <c r="AF152" s="74">
        <f>IF($AE146=0,AF148,AF146)</f>
        <v>1</v>
      </c>
      <c r="AG152" s="74">
        <f>IF($AE146=0,AG148,AG146)</f>
        <v>3</v>
      </c>
      <c r="AH152" s="74">
        <f>IF($AE146=0,AH148,AH146)</f>
        <v>0</v>
      </c>
      <c r="AI152" s="72"/>
      <c r="AJ152" s="72"/>
      <c r="AK152" s="72"/>
      <c r="AL152" s="72"/>
      <c r="AO152" s="31">
        <f>IF($AO146=0,AO148,AO146)</f>
        <v>3</v>
      </c>
      <c r="AP152" s="31">
        <f>IF($AO146=0,AP148,AP146)</f>
        <v>3</v>
      </c>
      <c r="AQ152" s="31">
        <f>IF($AO146=0,AQ148,AQ146)</f>
        <v>18</v>
      </c>
      <c r="AR152" s="31">
        <f>IF($AO146=0,AR148,AR146)</f>
        <v>0</v>
      </c>
    </row>
    <row r="153" spans="2:46" ht="15" customHeight="1" x14ac:dyDescent="0.3"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T153" s="72"/>
      <c r="U153" s="74">
        <f>U147</f>
        <v>1</v>
      </c>
      <c r="V153" s="74">
        <f>V147</f>
        <v>-19</v>
      </c>
      <c r="W153" s="74">
        <f>W147</f>
        <v>3</v>
      </c>
      <c r="X153" s="74">
        <f>X147</f>
        <v>0</v>
      </c>
      <c r="Y153" s="72" t="s">
        <v>269</v>
      </c>
      <c r="Z153" s="72"/>
      <c r="AA153" s="72"/>
      <c r="AB153" s="72"/>
      <c r="AC153" s="72"/>
      <c r="AD153" s="72"/>
      <c r="AE153" s="74">
        <f>AE147</f>
        <v>1</v>
      </c>
      <c r="AF153" s="74">
        <f>AF147</f>
        <v>1</v>
      </c>
      <c r="AG153" s="74">
        <f>AG147</f>
        <v>3</v>
      </c>
      <c r="AH153" s="74">
        <f>AH147</f>
        <v>0</v>
      </c>
      <c r="AI153" s="72" t="s">
        <v>269</v>
      </c>
      <c r="AJ153" s="72"/>
      <c r="AK153" s="72"/>
      <c r="AL153" s="72"/>
      <c r="AO153" s="31">
        <f>AO147</f>
        <v>1</v>
      </c>
      <c r="AP153" s="31">
        <f>AP147</f>
        <v>0</v>
      </c>
      <c r="AQ153" s="31">
        <f>AQ147</f>
        <v>3</v>
      </c>
      <c r="AR153" s="31">
        <f>AR147</f>
        <v>0</v>
      </c>
      <c r="AS153" t="s">
        <v>269</v>
      </c>
    </row>
    <row r="154" spans="2:46" x14ac:dyDescent="0.3"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T154" s="72"/>
      <c r="U154" s="74">
        <f>IF($U146=0,U146,U148)</f>
        <v>3</v>
      </c>
      <c r="V154" s="74">
        <f>IF($U146=0,V146,V148)</f>
        <v>3</v>
      </c>
      <c r="W154" s="74">
        <f>IF($U146=0,W146,W148)</f>
        <v>-1</v>
      </c>
      <c r="X154" s="74">
        <f>IF($U146=0,X146,X148)</f>
        <v>0</v>
      </c>
      <c r="Y154" s="72"/>
      <c r="Z154" s="72"/>
      <c r="AA154" s="72"/>
      <c r="AB154" s="72"/>
      <c r="AC154" s="72"/>
      <c r="AD154" s="72"/>
      <c r="AE154" s="74">
        <f>IF($AE146=0,AE146,AE148)</f>
        <v>3</v>
      </c>
      <c r="AF154" s="74">
        <f>IF($AE146=0,AF146,AF148)</f>
        <v>3</v>
      </c>
      <c r="AG154" s="74">
        <f>IF($AE146=0,AG146,AG148)</f>
        <v>19</v>
      </c>
      <c r="AH154" s="74">
        <f>IF($AE146=0,AH146,AH148)</f>
        <v>0</v>
      </c>
      <c r="AI154" s="72"/>
      <c r="AJ154" s="72"/>
      <c r="AK154" s="72"/>
      <c r="AL154" s="72"/>
      <c r="AO154" s="31">
        <f>IF($AO146=0,AO146,AO148)</f>
        <v>0</v>
      </c>
      <c r="AP154" s="31">
        <f>IF($AO146=0,AP146,AP148)</f>
        <v>1</v>
      </c>
      <c r="AQ154" s="31">
        <f>IF($AO146=0,AQ146,AQ148)</f>
        <v>3</v>
      </c>
      <c r="AR154" s="31">
        <f>IF($AO146=0,AR146,AR148)</f>
        <v>0</v>
      </c>
    </row>
    <row r="155" spans="2:46" ht="15" customHeight="1" x14ac:dyDescent="0.3"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spans="2:46" ht="15" customHeight="1" x14ac:dyDescent="0.3"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T156" s="72"/>
      <c r="U156" s="74">
        <f>IF($U152=0,0,U152/$U152)</f>
        <v>1</v>
      </c>
      <c r="V156" s="74">
        <f>IF($U152=0,0,V152/$U152)</f>
        <v>-5.2631578947368418E-2</v>
      </c>
      <c r="W156" s="74">
        <f>IF($U152=0,0,W152/$U152)</f>
        <v>-0.15789473684210525</v>
      </c>
      <c r="X156" s="74">
        <f>IF($U152=0,0,X152/$U152)</f>
        <v>0</v>
      </c>
      <c r="Y156" s="72" t="s">
        <v>270</v>
      </c>
      <c r="Z156" s="72"/>
      <c r="AA156" s="72"/>
      <c r="AB156" s="72"/>
      <c r="AC156" s="72"/>
      <c r="AD156" s="72"/>
      <c r="AE156" s="74">
        <f>IF($AE152=0,0,AE152/$AE152)</f>
        <v>1</v>
      </c>
      <c r="AF156" s="74">
        <f>IF($AE152=0,0,AF152/$AE152)</f>
        <v>1</v>
      </c>
      <c r="AG156" s="74">
        <f>IF($AE152=0,0,AG152/$AE152)</f>
        <v>3</v>
      </c>
      <c r="AH156" s="74">
        <f>IF($AE152=0,0,AH152/$AE152)</f>
        <v>0</v>
      </c>
      <c r="AI156" s="72" t="s">
        <v>270</v>
      </c>
      <c r="AJ156" s="72"/>
      <c r="AK156" s="72"/>
      <c r="AL156" s="72"/>
      <c r="AO156" s="31">
        <f>IF($AO152=0,0,AO152/$AO152)</f>
        <v>1</v>
      </c>
      <c r="AP156" s="31">
        <f>IF($AO152=0,0,AP152/$AO152)</f>
        <v>1</v>
      </c>
      <c r="AQ156" s="31">
        <f>IF($AO152=0,0,AQ152/$AO152)</f>
        <v>6</v>
      </c>
      <c r="AR156" s="31">
        <f>IF($AO146=0,0,AR146/$AE146)</f>
        <v>0</v>
      </c>
      <c r="AS156" t="s">
        <v>270</v>
      </c>
    </row>
    <row r="157" spans="2:46" x14ac:dyDescent="0.3"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T157" s="72"/>
      <c r="U157" s="74">
        <f>U153</f>
        <v>1</v>
      </c>
      <c r="V157" s="74">
        <f>V153</f>
        <v>-19</v>
      </c>
      <c r="W157" s="74">
        <f>W153</f>
        <v>3</v>
      </c>
      <c r="X157" s="74">
        <f>X153</f>
        <v>0</v>
      </c>
      <c r="Y157" s="72"/>
      <c r="Z157" s="72"/>
      <c r="AA157" s="72"/>
      <c r="AB157" s="72"/>
      <c r="AC157" s="72"/>
      <c r="AD157" s="72"/>
      <c r="AE157" s="74">
        <f>AE153</f>
        <v>1</v>
      </c>
      <c r="AF157" s="74">
        <f>AF153</f>
        <v>1</v>
      </c>
      <c r="AG157" s="74">
        <f>AG153</f>
        <v>3</v>
      </c>
      <c r="AH157" s="74">
        <f>AH153</f>
        <v>0</v>
      </c>
      <c r="AI157" s="72"/>
      <c r="AJ157" s="72"/>
      <c r="AK157" s="72"/>
      <c r="AL157" s="72"/>
      <c r="AO157" s="31">
        <f>AO153</f>
        <v>1</v>
      </c>
      <c r="AP157" s="31">
        <f>AP153</f>
        <v>0</v>
      </c>
      <c r="AQ157" s="31">
        <f>AQ153</f>
        <v>3</v>
      </c>
      <c r="AR157" s="31">
        <f>AR153</f>
        <v>0</v>
      </c>
    </row>
    <row r="158" spans="2:46" x14ac:dyDescent="0.3"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T158" s="72"/>
      <c r="U158" s="74">
        <f>U154</f>
        <v>3</v>
      </c>
      <c r="V158" s="74">
        <f>V154</f>
        <v>3</v>
      </c>
      <c r="W158" s="74">
        <f>W154</f>
        <v>-1</v>
      </c>
      <c r="X158" s="74">
        <f>X154</f>
        <v>0</v>
      </c>
      <c r="Y158" s="72"/>
      <c r="Z158" s="72"/>
      <c r="AA158" s="72"/>
      <c r="AB158" s="72"/>
      <c r="AC158" s="72"/>
      <c r="AD158" s="72"/>
      <c r="AE158" s="74">
        <f>AE154</f>
        <v>3</v>
      </c>
      <c r="AF158" s="74">
        <f>AF154</f>
        <v>3</v>
      </c>
      <c r="AG158" s="74">
        <f>AG154</f>
        <v>19</v>
      </c>
      <c r="AH158" s="74">
        <f>AH154</f>
        <v>0</v>
      </c>
      <c r="AI158" s="72"/>
      <c r="AJ158" s="72"/>
      <c r="AK158" s="72"/>
      <c r="AL158" s="72"/>
      <c r="AO158" s="31">
        <f>AO154</f>
        <v>0</v>
      </c>
      <c r="AP158" s="31">
        <f>AP154</f>
        <v>1</v>
      </c>
      <c r="AQ158" s="31">
        <f>AQ154</f>
        <v>3</v>
      </c>
      <c r="AR158" s="31">
        <f>AR154</f>
        <v>0</v>
      </c>
    </row>
    <row r="159" spans="2:46" x14ac:dyDescent="0.3"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spans="2:46" x14ac:dyDescent="0.3"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T160" s="72"/>
      <c r="U160" s="74">
        <f>IF(AND($U156=0,$V156=0,$W156=0),U158,U156)</f>
        <v>1</v>
      </c>
      <c r="V160" s="74">
        <f>IF(AND($U156=0,$V156=0,$W156=0),V158,V156)</f>
        <v>-5.2631578947368418E-2</v>
      </c>
      <c r="W160" s="74">
        <f>IF(AND($U156=0,$V156=0,$W156=0),W158,W156)</f>
        <v>-0.15789473684210525</v>
      </c>
      <c r="X160" s="74">
        <f>IF(AND($U156=0,$V156=0,$W156=0),X158,X156)</f>
        <v>0</v>
      </c>
      <c r="Y160" s="72"/>
      <c r="Z160" s="72"/>
      <c r="AA160" s="72"/>
      <c r="AB160" s="72"/>
      <c r="AC160" s="72"/>
      <c r="AD160" s="72"/>
      <c r="AE160" s="74">
        <f>IF(AND($AE156=0,$AF156=0,$AG156=0),AE158,AE156)</f>
        <v>1</v>
      </c>
      <c r="AF160" s="74">
        <f>IF(AND($AE156=0,$AF156=0,$AG156=0),AF158,AF156)</f>
        <v>1</v>
      </c>
      <c r="AG160" s="74">
        <f>IF(AND($AE156=0,$AF156=0,$AG156=0),AG158,AG156)</f>
        <v>3</v>
      </c>
      <c r="AH160" s="74">
        <f>IF(AND($AE156=0,$AF156=0,$AG156=0),AH158,AH156)</f>
        <v>0</v>
      </c>
      <c r="AI160" s="72"/>
      <c r="AJ160" s="72"/>
      <c r="AK160" s="72"/>
      <c r="AL160" s="72"/>
      <c r="AO160" s="31">
        <f>IF(AND($AO156=0,$AP156=0,$AQ156=0),AO158,AO156)</f>
        <v>1</v>
      </c>
      <c r="AP160" s="31">
        <f>IF(AND($AO156=0,$AP156=0,$AQ156=0),AP158,AP156)</f>
        <v>1</v>
      </c>
      <c r="AQ160" s="31">
        <f>IF(AND($AO156=0,$AP156=0,$AQ156=0),AQ158,AQ156)</f>
        <v>6</v>
      </c>
      <c r="AR160" s="31">
        <f>IF(AND($AO156=0,$AP156=0,$AQ156=0),AR158,AR156)</f>
        <v>0</v>
      </c>
    </row>
    <row r="161" spans="2:45" x14ac:dyDescent="0.3"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T161" s="72"/>
      <c r="U161" s="74">
        <f>U157</f>
        <v>1</v>
      </c>
      <c r="V161" s="74">
        <f>V157</f>
        <v>-19</v>
      </c>
      <c r="W161" s="74">
        <f>W157</f>
        <v>3</v>
      </c>
      <c r="X161" s="74">
        <f>X157</f>
        <v>0</v>
      </c>
      <c r="Y161" s="72" t="s">
        <v>269</v>
      </c>
      <c r="Z161" s="72"/>
      <c r="AA161" s="72"/>
      <c r="AB161" s="72"/>
      <c r="AC161" s="72"/>
      <c r="AD161" s="72"/>
      <c r="AE161" s="74">
        <f>AE157</f>
        <v>1</v>
      </c>
      <c r="AF161" s="74">
        <f>AF157</f>
        <v>1</v>
      </c>
      <c r="AG161" s="74">
        <f>AG157</f>
        <v>3</v>
      </c>
      <c r="AH161" s="74">
        <f>AH157</f>
        <v>0</v>
      </c>
      <c r="AI161" s="72" t="s">
        <v>269</v>
      </c>
      <c r="AJ161" s="72"/>
      <c r="AK161" s="72"/>
      <c r="AL161" s="72"/>
      <c r="AO161" s="31">
        <f>AO157</f>
        <v>1</v>
      </c>
      <c r="AP161" s="31">
        <f>AP157</f>
        <v>0</v>
      </c>
      <c r="AQ161" s="31">
        <f>AQ157</f>
        <v>3</v>
      </c>
      <c r="AR161" s="31">
        <f>AR157</f>
        <v>0</v>
      </c>
      <c r="AS161" t="s">
        <v>269</v>
      </c>
    </row>
    <row r="162" spans="2:45" x14ac:dyDescent="0.3"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T162" s="72"/>
      <c r="U162" s="74">
        <f>IF(AND($U156=0,$V156=0,$W156=0),U156,U158)</f>
        <v>3</v>
      </c>
      <c r="V162" s="74">
        <f>IF(AND($U156=0,$V156=0,$W156=0),V156,V158)</f>
        <v>3</v>
      </c>
      <c r="W162" s="74">
        <f>IF(AND($U156=0,$V156=0,$W156=0),W156,W158)</f>
        <v>-1</v>
      </c>
      <c r="X162" s="74">
        <f>IF(AND($U156=0,$V156=0,$W156=0),X156,X158)</f>
        <v>0</v>
      </c>
      <c r="Y162" s="72"/>
      <c r="Z162" s="72"/>
      <c r="AA162" s="72"/>
      <c r="AB162" s="119"/>
      <c r="AC162" s="119"/>
      <c r="AD162" s="119"/>
      <c r="AE162" s="74">
        <f>IF(AND($AE156=0,$AF156=0,$AG156=0),AE156,AE158)</f>
        <v>3</v>
      </c>
      <c r="AF162" s="74">
        <f>IF(AND($AE156=0,$AF156=0,$AG156=0),AF156,AF158)</f>
        <v>3</v>
      </c>
      <c r="AG162" s="74">
        <f>IF(AND($AE156=0,$AF156=0,$AG156=0),AG156,AG158)</f>
        <v>19</v>
      </c>
      <c r="AH162" s="74">
        <f>IF(AND($AE156=0,$AF156=0,$AG156=0),AH156,AH158)</f>
        <v>0</v>
      </c>
      <c r="AI162" s="72"/>
      <c r="AJ162" s="72"/>
      <c r="AK162" s="72"/>
      <c r="AL162" s="72"/>
      <c r="AO162" s="31">
        <f>IF(AND($AO156=0,$AP156=0,$AQ156=0),AO156,AO158)</f>
        <v>0</v>
      </c>
      <c r="AP162" s="31">
        <f>IF(AND($AO156=0,$AP156=0,$AQ156=0),AP156,AP158)</f>
        <v>1</v>
      </c>
      <c r="AQ162" s="31">
        <f>IF(AND($AO156=0,$AP156=0,$AQ156=0),AQ156,AQ158)</f>
        <v>3</v>
      </c>
      <c r="AR162" s="31">
        <f>IF(AND($AO156=0,$AP156=0,$AQ156=0),AR156,AR158)</f>
        <v>0</v>
      </c>
    </row>
    <row r="163" spans="2:45" x14ac:dyDescent="0.3"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spans="2:45" x14ac:dyDescent="0.3"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spans="2:45" x14ac:dyDescent="0.3"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T165" s="72"/>
      <c r="U165" s="72" t="s">
        <v>268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 t="s">
        <v>268</v>
      </c>
      <c r="AF165" s="72"/>
      <c r="AG165" s="72"/>
      <c r="AH165" s="72"/>
      <c r="AI165" s="72"/>
      <c r="AJ165" s="72"/>
      <c r="AK165" s="72"/>
      <c r="AL165" s="72"/>
      <c r="AO165" t="s">
        <v>268</v>
      </c>
    </row>
    <row r="166" spans="2:45" x14ac:dyDescent="0.3"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spans="2:45" x14ac:dyDescent="0.3"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T167" s="72"/>
      <c r="U167" s="74">
        <f>U160</f>
        <v>1</v>
      </c>
      <c r="V167" s="74">
        <f>V160</f>
        <v>-5.2631578947368418E-2</v>
      </c>
      <c r="W167" s="74">
        <f>W160</f>
        <v>-0.15789473684210525</v>
      </c>
      <c r="X167" s="74">
        <f>X160</f>
        <v>0</v>
      </c>
      <c r="Y167" s="72"/>
      <c r="Z167" s="72"/>
      <c r="AA167" s="72"/>
      <c r="AB167" s="72"/>
      <c r="AC167" s="72"/>
      <c r="AD167" s="72"/>
      <c r="AE167" s="74">
        <f>AE160</f>
        <v>1</v>
      </c>
      <c r="AF167" s="74">
        <f>AF160</f>
        <v>1</v>
      </c>
      <c r="AG167" s="74">
        <f>AG160</f>
        <v>3</v>
      </c>
      <c r="AH167" s="74">
        <f>AH160</f>
        <v>0</v>
      </c>
      <c r="AI167" s="72"/>
      <c r="AJ167" s="72"/>
      <c r="AK167" s="72"/>
      <c r="AL167" s="72"/>
      <c r="AO167" s="31">
        <f>AO160</f>
        <v>1</v>
      </c>
      <c r="AP167" s="31">
        <f>AP160</f>
        <v>1</v>
      </c>
      <c r="AQ167" s="31">
        <f>AQ160</f>
        <v>6</v>
      </c>
      <c r="AR167" s="31">
        <f>AR160</f>
        <v>0</v>
      </c>
    </row>
    <row r="168" spans="2:45" x14ac:dyDescent="0.3"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T168" s="72"/>
      <c r="U168" s="74">
        <f>ROUND(U161-($U161/$U160)*U160,5)</f>
        <v>0</v>
      </c>
      <c r="V168" s="74">
        <f>ROUND(V161-($U161/$U160)*V160,5)</f>
        <v>-18.947369999999999</v>
      </c>
      <c r="W168" s="74">
        <f>ROUND(W161-($U161/$U160)*W160,5)</f>
        <v>3.1578900000000001</v>
      </c>
      <c r="X168" s="74">
        <f>ROUND(X161-($U161/$U160)*X160,5)</f>
        <v>0</v>
      </c>
      <c r="Y168" s="72" t="s">
        <v>267</v>
      </c>
      <c r="Z168" s="72"/>
      <c r="AA168" s="72"/>
      <c r="AB168" s="72"/>
      <c r="AC168" s="72"/>
      <c r="AD168" s="72"/>
      <c r="AE168" s="74">
        <f>ROUND(AE161-($AE161/$AE160)*AE160,5)</f>
        <v>0</v>
      </c>
      <c r="AF168" s="74">
        <f>ROUND(AF161-($AE161/$AE160)*AF160,5)</f>
        <v>0</v>
      </c>
      <c r="AG168" s="74">
        <f>ROUND(AG161-($AE161/$AE160)*AG160,5)</f>
        <v>0</v>
      </c>
      <c r="AH168" s="74">
        <f>AH157-AH156</f>
        <v>0</v>
      </c>
      <c r="AI168" s="72" t="s">
        <v>267</v>
      </c>
      <c r="AJ168" s="72"/>
      <c r="AK168" s="72"/>
      <c r="AL168" s="72"/>
      <c r="AO168" s="31">
        <f>ROUND(AO161-($AO161/$AO160)*AO160,5)</f>
        <v>0</v>
      </c>
      <c r="AP168" s="31">
        <f>ROUND(AP161-($AO161/$AO160)*AP160,5)</f>
        <v>-1</v>
      </c>
      <c r="AQ168" s="31">
        <f>ROUND(AQ161-($AO161/$AO160)*AQ160,5)</f>
        <v>-3</v>
      </c>
      <c r="AR168" s="31">
        <f>AR157-AR156</f>
        <v>0</v>
      </c>
      <c r="AS168" t="s">
        <v>267</v>
      </c>
    </row>
    <row r="169" spans="2:45" x14ac:dyDescent="0.3"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T169" s="72"/>
      <c r="U169" s="74">
        <f>U162-U162*U160</f>
        <v>0</v>
      </c>
      <c r="V169" s="74">
        <f>V162-U162*V160</f>
        <v>3.1578947368421053</v>
      </c>
      <c r="W169" s="74">
        <f>W162-U162*W160</f>
        <v>-0.52631578947368429</v>
      </c>
      <c r="X169" s="74">
        <f>X158-U158*X156</f>
        <v>0</v>
      </c>
      <c r="Y169" s="72" t="s">
        <v>266</v>
      </c>
      <c r="Z169" s="72"/>
      <c r="AA169" s="72"/>
      <c r="AB169" s="72"/>
      <c r="AC169" s="72"/>
      <c r="AD169" s="72"/>
      <c r="AE169" s="74">
        <f>AE162-$AE162*AE160</f>
        <v>0</v>
      </c>
      <c r="AF169" s="74">
        <f>AF162-$AE162*AF160</f>
        <v>0</v>
      </c>
      <c r="AG169" s="74">
        <f>AG162-$AE162*AG160</f>
        <v>10</v>
      </c>
      <c r="AH169" s="74">
        <f>ROUND(AH162-AG162*AH160,5)</f>
        <v>0</v>
      </c>
      <c r="AI169" s="72" t="s">
        <v>266</v>
      </c>
      <c r="AJ169" s="72"/>
      <c r="AK169" s="72"/>
      <c r="AL169" s="72"/>
      <c r="AO169" s="31">
        <f>AO162-AO162*AO160</f>
        <v>0</v>
      </c>
      <c r="AP169" s="31">
        <f>AP162-AO162*AP160</f>
        <v>1</v>
      </c>
      <c r="AQ169" s="31">
        <f>AQ162-AO162*AQ160</f>
        <v>3</v>
      </c>
      <c r="AR169" s="31">
        <f>AR158-AO158*AR156</f>
        <v>0</v>
      </c>
      <c r="AS169" t="s">
        <v>266</v>
      </c>
    </row>
    <row r="170" spans="2:45" x14ac:dyDescent="0.3"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</row>
    <row r="171" spans="2:45" x14ac:dyDescent="0.3"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T171" s="72"/>
      <c r="U171" s="72" t="s">
        <v>265</v>
      </c>
      <c r="V171" s="72"/>
      <c r="W171" s="72"/>
      <c r="X171" s="72"/>
      <c r="Y171" s="72"/>
      <c r="Z171" s="72"/>
      <c r="AA171" s="72"/>
      <c r="AB171" s="72"/>
      <c r="AC171" s="72"/>
      <c r="AD171" s="72"/>
      <c r="AE171" s="72" t="s">
        <v>265</v>
      </c>
      <c r="AF171" s="72"/>
      <c r="AG171" s="72"/>
      <c r="AH171" s="72"/>
      <c r="AI171" s="72"/>
      <c r="AJ171" s="72"/>
      <c r="AK171" s="72"/>
      <c r="AL171" s="72"/>
      <c r="AO171" t="s">
        <v>265</v>
      </c>
    </row>
    <row r="172" spans="2:45" x14ac:dyDescent="0.3"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</row>
    <row r="173" spans="2:45" x14ac:dyDescent="0.3"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T173" s="72"/>
      <c r="U173" s="74">
        <f>U167</f>
        <v>1</v>
      </c>
      <c r="V173" s="74">
        <f>V167</f>
        <v>-5.2631578947368418E-2</v>
      </c>
      <c r="W173" s="74">
        <f>W167</f>
        <v>-0.15789473684210525</v>
      </c>
      <c r="X173" s="74">
        <f>X167</f>
        <v>0</v>
      </c>
      <c r="Y173" s="72"/>
      <c r="Z173" s="72"/>
      <c r="AA173" s="72"/>
      <c r="AB173" s="72"/>
      <c r="AC173" s="72"/>
      <c r="AD173" s="72"/>
      <c r="AE173" s="74">
        <f>AE167</f>
        <v>1</v>
      </c>
      <c r="AF173" s="74">
        <f>AF167</f>
        <v>1</v>
      </c>
      <c r="AG173" s="74">
        <f>AG167</f>
        <v>3</v>
      </c>
      <c r="AH173" s="74">
        <f>AH167</f>
        <v>0</v>
      </c>
      <c r="AI173" s="72"/>
      <c r="AJ173" s="72"/>
      <c r="AK173" s="72"/>
      <c r="AL173" s="72"/>
      <c r="AO173" s="31">
        <f>AO167</f>
        <v>1</v>
      </c>
      <c r="AP173" s="31">
        <f>AP167</f>
        <v>1</v>
      </c>
      <c r="AQ173" s="31">
        <f>AQ167</f>
        <v>6</v>
      </c>
      <c r="AR173" s="31">
        <f>AR167</f>
        <v>0</v>
      </c>
    </row>
    <row r="174" spans="2:45" x14ac:dyDescent="0.3"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T174" s="72"/>
      <c r="U174" s="74">
        <f>IF(AND($U168=0,$V168=0,$W168=0),U169,U168)</f>
        <v>0</v>
      </c>
      <c r="V174" s="74">
        <f>IF(AND($U168=0,$V168=0,$W168=0),V169,V168)</f>
        <v>-18.947369999999999</v>
      </c>
      <c r="W174" s="74">
        <f>IF(AND($U168=0,$V168=0,$W168=0),W169,W168)</f>
        <v>3.1578900000000001</v>
      </c>
      <c r="X174" s="74">
        <f>IF(AND($AE159=0,$AF159=0,$AG159=0),X169,X168)</f>
        <v>0</v>
      </c>
      <c r="Y174" s="72" t="s">
        <v>264</v>
      </c>
      <c r="Z174" s="72"/>
      <c r="AA174" s="72"/>
      <c r="AB174" s="72"/>
      <c r="AC174" s="72"/>
      <c r="AD174" s="72"/>
      <c r="AE174" s="74">
        <f>IF(AND($AE168=0,$AF168=0,$AG168=0),AE169,AE168)</f>
        <v>0</v>
      </c>
      <c r="AF174" s="74">
        <f>IF(AND($AE168=0,$AF168=0,$AG168=0),AF169,AF168)</f>
        <v>0</v>
      </c>
      <c r="AG174" s="74">
        <f>IF(AND($AE168=0,$AF168=0,$AG168=0),AG169,AG168)</f>
        <v>10</v>
      </c>
      <c r="AH174" s="74">
        <f>IF(AND($AE168=0,$AF168=0,$AG168=0),AH169,AH168)</f>
        <v>0</v>
      </c>
      <c r="AI174" s="72" t="s">
        <v>264</v>
      </c>
      <c r="AJ174" s="72"/>
      <c r="AK174" s="72"/>
      <c r="AL174" s="72"/>
      <c r="AO174" s="31">
        <f>IF(AND($AO168=0,$AP168=0,$AQ168=0),AO169,AO168)</f>
        <v>0</v>
      </c>
      <c r="AP174" s="31">
        <f>IF(AND($AO168=0,$AP168=0,$AQ168=0),AP169,AP168)</f>
        <v>-1</v>
      </c>
      <c r="AQ174" s="31">
        <f>IF(AND($AO168=0,$AP168=0,$AQ168=0),AQ169,AQ168)</f>
        <v>-3</v>
      </c>
      <c r="AR174" s="31">
        <f>IF(AND($AE159=0,$AF159=0,$AG159=0),AR169,AR168)</f>
        <v>0</v>
      </c>
      <c r="AS174" t="s">
        <v>264</v>
      </c>
    </row>
    <row r="175" spans="2:45" x14ac:dyDescent="0.3"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T175" s="72"/>
      <c r="U175" s="74">
        <f>IF(AND($U168=0,$V168=0,$W168=0),U168,U169)</f>
        <v>0</v>
      </c>
      <c r="V175" s="74">
        <f>IF(AND($U168=0,$V168=0,$W168=0),V168,V169)</f>
        <v>3.1578947368421053</v>
      </c>
      <c r="W175" s="74">
        <f>IF(AND($U168=0,$V168=0,$W168=0),W168,W169)</f>
        <v>-0.52631578947368429</v>
      </c>
      <c r="X175" s="74">
        <f>IF(AND($AO168=0,$AP168=0,$AQ168=0),X168,X169)</f>
        <v>0</v>
      </c>
      <c r="Y175" s="72"/>
      <c r="Z175" s="72"/>
      <c r="AA175" s="72"/>
      <c r="AB175" s="72"/>
      <c r="AC175" s="72"/>
      <c r="AD175" s="72"/>
      <c r="AE175" s="74">
        <f>IF(AND($AE168=0,$AF168=0,$AG168=0),AE168,AE169)</f>
        <v>0</v>
      </c>
      <c r="AF175" s="74">
        <f>IF(AND($AE168=0,$AF168=0,$AG168=0),AF168,AF169)</f>
        <v>0</v>
      </c>
      <c r="AG175" s="74">
        <f>IF(AND($AE168=0,$AF168=0,$AG168=0),AG168,AG169)</f>
        <v>0</v>
      </c>
      <c r="AH175" s="74">
        <f>IF(AND($AE168=0,$AF168=0,$AG168=0),AH168,AH169)</f>
        <v>0</v>
      </c>
      <c r="AI175" s="72"/>
      <c r="AJ175" s="72"/>
      <c r="AK175" s="72"/>
      <c r="AL175" s="72"/>
      <c r="AO175" s="31">
        <f>IF(AND($AO168=0,$AP168=0,$AQ168=0),AO168,AO169)</f>
        <v>0</v>
      </c>
      <c r="AP175" s="31">
        <f>IF(AND($AO168=0,$AP168=0,$AQ168=0),AP168,AP169)</f>
        <v>1</v>
      </c>
      <c r="AQ175" s="31">
        <f>IF(AND($AO168=0,$AP168=0,$AQ168=0),AQ168,AQ169)</f>
        <v>3</v>
      </c>
      <c r="AR175" s="31">
        <f>IF(AND($AO168=0,$AP168=0,$AQ168=0),AR168,AR169)</f>
        <v>0</v>
      </c>
    </row>
    <row r="176" spans="2:45" x14ac:dyDescent="0.3"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</row>
    <row r="177" spans="2:45" x14ac:dyDescent="0.3"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T177" s="72"/>
      <c r="U177" s="74">
        <f>U167</f>
        <v>1</v>
      </c>
      <c r="V177" s="74">
        <f>V167</f>
        <v>-5.2631578947368418E-2</v>
      </c>
      <c r="W177" s="74">
        <f>W167</f>
        <v>-0.15789473684210525</v>
      </c>
      <c r="X177" s="74">
        <f>X167</f>
        <v>0</v>
      </c>
      <c r="Y177" s="72"/>
      <c r="Z177" s="72"/>
      <c r="AA177" s="72"/>
      <c r="AB177" s="72"/>
      <c r="AC177" s="72"/>
      <c r="AD177" s="72"/>
      <c r="AE177" s="74">
        <f>AE167</f>
        <v>1</v>
      </c>
      <c r="AF177" s="74">
        <f>AF167</f>
        <v>1</v>
      </c>
      <c r="AG177" s="74">
        <f>AG167</f>
        <v>3</v>
      </c>
      <c r="AH177" s="74">
        <f>AH167</f>
        <v>0</v>
      </c>
      <c r="AI177" s="72"/>
      <c r="AJ177" s="72"/>
      <c r="AK177" s="72"/>
      <c r="AL177" s="72"/>
      <c r="AO177" s="31">
        <f>AO167</f>
        <v>1</v>
      </c>
      <c r="AP177" s="31">
        <f>AP167</f>
        <v>1</v>
      </c>
      <c r="AQ177" s="31">
        <f>AQ167</f>
        <v>6</v>
      </c>
      <c r="AR177" s="31">
        <f>AR167</f>
        <v>0</v>
      </c>
    </row>
    <row r="178" spans="2:45" x14ac:dyDescent="0.3"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T178" s="72"/>
      <c r="U178" s="74">
        <f>IF(V174=0,0,U174/V174)</f>
        <v>0</v>
      </c>
      <c r="V178" s="74">
        <f>IF(V174=0,0,V174/V174)</f>
        <v>1</v>
      </c>
      <c r="W178" s="74">
        <f>IF(V174=0,0,W174/V174)</f>
        <v>-0.16666640277779979</v>
      </c>
      <c r="X178" s="74">
        <f>X168</f>
        <v>0</v>
      </c>
      <c r="Y178" s="72" t="s">
        <v>263</v>
      </c>
      <c r="Z178" s="72"/>
      <c r="AA178" s="72"/>
      <c r="AB178" s="72"/>
      <c r="AC178" s="72"/>
      <c r="AD178" s="72"/>
      <c r="AE178" s="74">
        <f>IF(AF174=0,0,AE174/AF174)</f>
        <v>0</v>
      </c>
      <c r="AF178" s="74">
        <f>IF(AF174=0,0,AF174/AF174)</f>
        <v>0</v>
      </c>
      <c r="AG178" s="74">
        <f>IF(AF174=0,0,AG174/AF174)</f>
        <v>0</v>
      </c>
      <c r="AH178" s="74">
        <f>AH168</f>
        <v>0</v>
      </c>
      <c r="AI178" s="72" t="s">
        <v>263</v>
      </c>
      <c r="AJ178" s="72"/>
      <c r="AK178" s="72"/>
      <c r="AL178" s="72"/>
      <c r="AO178" s="31">
        <f>IF(AP174=0,0,AO174/AP174)</f>
        <v>0</v>
      </c>
      <c r="AP178" s="31">
        <f>IF(AP174=0,0,AP174/AP174)</f>
        <v>1</v>
      </c>
      <c r="AQ178" s="31">
        <f>IF(AP174=0,0,AQ174/AP174)</f>
        <v>3</v>
      </c>
      <c r="AR178" s="31">
        <f>AR168</f>
        <v>0</v>
      </c>
      <c r="AS178" t="s">
        <v>263</v>
      </c>
    </row>
    <row r="179" spans="2:45" x14ac:dyDescent="0.3"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T179" s="72"/>
      <c r="U179" s="74">
        <f>U175</f>
        <v>0</v>
      </c>
      <c r="V179" s="74">
        <f>V175</f>
        <v>3.1578947368421053</v>
      </c>
      <c r="W179" s="74">
        <f>W175</f>
        <v>-0.52631578947368429</v>
      </c>
      <c r="X179" s="74">
        <f>X175</f>
        <v>0</v>
      </c>
      <c r="Y179" s="72"/>
      <c r="Z179" s="72"/>
      <c r="AA179" s="72"/>
      <c r="AB179" s="72"/>
      <c r="AC179" s="72"/>
      <c r="AD179" s="72"/>
      <c r="AE179" s="74">
        <f>AE175</f>
        <v>0</v>
      </c>
      <c r="AF179" s="74">
        <f>AF175</f>
        <v>0</v>
      </c>
      <c r="AG179" s="74">
        <f>AG175</f>
        <v>0</v>
      </c>
      <c r="AH179" s="74">
        <f>AH175</f>
        <v>0</v>
      </c>
      <c r="AI179" s="72"/>
      <c r="AJ179" s="72"/>
      <c r="AK179" s="72"/>
      <c r="AL179" s="72"/>
      <c r="AO179" s="31">
        <f>AO175</f>
        <v>0</v>
      </c>
      <c r="AP179" s="31">
        <f>AP175</f>
        <v>1</v>
      </c>
      <c r="AQ179" s="31">
        <f>AQ175</f>
        <v>3</v>
      </c>
      <c r="AR179" s="31">
        <f>AR175</f>
        <v>0</v>
      </c>
    </row>
    <row r="180" spans="2:45" x14ac:dyDescent="0.3"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</row>
    <row r="181" spans="2:45" x14ac:dyDescent="0.3"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T181" s="72"/>
      <c r="U181" s="72" t="s">
        <v>262</v>
      </c>
      <c r="V181" s="72"/>
      <c r="W181" s="72"/>
      <c r="X181" s="72"/>
      <c r="Y181" s="72"/>
      <c r="Z181" s="72"/>
      <c r="AA181" s="72"/>
      <c r="AB181" s="72"/>
      <c r="AC181" s="72"/>
      <c r="AD181" s="72"/>
      <c r="AE181" s="72" t="s">
        <v>262</v>
      </c>
      <c r="AF181" s="72"/>
      <c r="AG181" s="72"/>
      <c r="AH181" s="72"/>
      <c r="AI181" s="72"/>
      <c r="AJ181" s="72"/>
      <c r="AK181" s="72"/>
      <c r="AL181" s="72"/>
      <c r="AO181" t="s">
        <v>262</v>
      </c>
    </row>
    <row r="182" spans="2:45" x14ac:dyDescent="0.3"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</row>
    <row r="183" spans="2:45" x14ac:dyDescent="0.3"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T183" s="72"/>
      <c r="U183" s="72" t="s">
        <v>261</v>
      </c>
      <c r="V183" s="72"/>
      <c r="W183" s="72"/>
      <c r="X183" s="72"/>
      <c r="Y183" s="72"/>
      <c r="Z183" s="72"/>
      <c r="AA183" s="72"/>
      <c r="AB183" s="72"/>
      <c r="AC183" s="72"/>
      <c r="AD183" s="72"/>
      <c r="AE183" s="72" t="s">
        <v>261</v>
      </c>
      <c r="AF183" s="72"/>
      <c r="AG183" s="72"/>
      <c r="AH183" s="72"/>
      <c r="AI183" s="72"/>
      <c r="AJ183" s="72"/>
      <c r="AK183" s="72"/>
      <c r="AL183" s="72"/>
      <c r="AO183" t="s">
        <v>261</v>
      </c>
    </row>
    <row r="184" spans="2:45" x14ac:dyDescent="0.3"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</row>
    <row r="185" spans="2:45" x14ac:dyDescent="0.3"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</row>
    <row r="186" spans="2:45" x14ac:dyDescent="0.3"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</row>
    <row r="187" spans="2:45" x14ac:dyDescent="0.3"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</row>
    <row r="188" spans="2:45" x14ac:dyDescent="0.3"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T188" s="72"/>
      <c r="U188" s="74">
        <f>U177</f>
        <v>1</v>
      </c>
      <c r="V188" s="74">
        <f>V177</f>
        <v>-5.2631578947368418E-2</v>
      </c>
      <c r="W188" s="74">
        <f>W177</f>
        <v>-0.15789473684210525</v>
      </c>
      <c r="X188" s="74">
        <f>X177</f>
        <v>0</v>
      </c>
      <c r="Y188" s="72"/>
      <c r="Z188" s="72"/>
      <c r="AA188" s="72"/>
      <c r="AB188" s="72"/>
      <c r="AC188" s="72"/>
      <c r="AD188" s="72"/>
      <c r="AE188" s="74">
        <f>AE177</f>
        <v>1</v>
      </c>
      <c r="AF188" s="74">
        <f>AF177</f>
        <v>1</v>
      </c>
      <c r="AG188" s="74">
        <f>AG177</f>
        <v>3</v>
      </c>
      <c r="AH188" s="74">
        <f>AH177</f>
        <v>0</v>
      </c>
      <c r="AI188" s="72"/>
      <c r="AJ188" s="72"/>
      <c r="AK188" s="72"/>
      <c r="AL188" s="72"/>
      <c r="AO188" s="31">
        <f>AO177</f>
        <v>1</v>
      </c>
      <c r="AP188" s="31">
        <f>AP177</f>
        <v>1</v>
      </c>
      <c r="AQ188" s="31">
        <f>AQ177</f>
        <v>6</v>
      </c>
      <c r="AR188" s="31">
        <f>AR177</f>
        <v>0</v>
      </c>
    </row>
    <row r="189" spans="2:45" x14ac:dyDescent="0.3"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T189" s="72"/>
      <c r="U189" s="74">
        <f>U178</f>
        <v>0</v>
      </c>
      <c r="V189" s="74">
        <f>V178</f>
        <v>1</v>
      </c>
      <c r="W189" s="74">
        <f>W178</f>
        <v>-0.16666640277779979</v>
      </c>
      <c r="X189" s="74">
        <f>X178</f>
        <v>0</v>
      </c>
      <c r="Y189" s="72"/>
      <c r="Z189" s="72"/>
      <c r="AA189" s="72"/>
      <c r="AB189" s="72"/>
      <c r="AC189" s="72"/>
      <c r="AD189" s="72"/>
      <c r="AE189" s="74">
        <f>AE178</f>
        <v>0</v>
      </c>
      <c r="AF189" s="74">
        <f>AF178</f>
        <v>0</v>
      </c>
      <c r="AG189" s="74">
        <f>AG178</f>
        <v>0</v>
      </c>
      <c r="AH189" s="74">
        <f>AH178</f>
        <v>0</v>
      </c>
      <c r="AI189" s="72"/>
      <c r="AJ189" s="72"/>
      <c r="AK189" s="72"/>
      <c r="AL189" s="72"/>
      <c r="AO189" s="31">
        <f>AO178</f>
        <v>0</v>
      </c>
      <c r="AP189" s="31">
        <f>AP178</f>
        <v>1</v>
      </c>
      <c r="AQ189" s="31">
        <f>AQ178</f>
        <v>3</v>
      </c>
      <c r="AR189" s="31">
        <f>AR178</f>
        <v>0</v>
      </c>
    </row>
    <row r="190" spans="2:45" x14ac:dyDescent="0.3"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T190" s="72"/>
      <c r="U190" s="74">
        <f>U179-V178*U178</f>
        <v>0</v>
      </c>
      <c r="V190" s="74">
        <f>V179-V179*V178</f>
        <v>0</v>
      </c>
      <c r="W190" s="74">
        <f>ROUND(W179-V179*W178,5)</f>
        <v>0</v>
      </c>
      <c r="X190" s="74">
        <f>X175-V175*X174</f>
        <v>0</v>
      </c>
      <c r="Y190" s="72" t="s">
        <v>260</v>
      </c>
      <c r="Z190" s="72"/>
      <c r="AA190" s="72"/>
      <c r="AB190" s="72"/>
      <c r="AC190" s="72"/>
      <c r="AD190" s="72"/>
      <c r="AE190" s="74">
        <f>AE179-AF178*AE178</f>
        <v>0</v>
      </c>
      <c r="AF190" s="74">
        <f>AF179-AF179*AF178</f>
        <v>0</v>
      </c>
      <c r="AG190" s="74">
        <f>AG179-AF179*AG178</f>
        <v>0</v>
      </c>
      <c r="AH190" s="74">
        <f>AH175-AF175*AH174</f>
        <v>0</v>
      </c>
      <c r="AI190" s="72" t="s">
        <v>260</v>
      </c>
      <c r="AJ190" s="72"/>
      <c r="AK190" s="72"/>
      <c r="AL190" s="72"/>
      <c r="AO190" s="31">
        <f>AO179-AP178*AO178</f>
        <v>0</v>
      </c>
      <c r="AP190" s="31">
        <f>AP179-AP179*AP178</f>
        <v>0</v>
      </c>
      <c r="AQ190" s="31">
        <f>AQ179-AP179*AQ178</f>
        <v>0</v>
      </c>
      <c r="AR190" s="31">
        <f>AR175-AP175*AR174</f>
        <v>0</v>
      </c>
      <c r="AS190" t="s">
        <v>260</v>
      </c>
    </row>
    <row r="191" spans="2:45" x14ac:dyDescent="0.3"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</row>
    <row r="192" spans="2:45" x14ac:dyDescent="0.3"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T192" s="72"/>
      <c r="U192" s="74">
        <f>U188</f>
        <v>1</v>
      </c>
      <c r="V192" s="74">
        <f>V188</f>
        <v>-5.2631578947368418E-2</v>
      </c>
      <c r="W192" s="74">
        <f>W188</f>
        <v>-0.15789473684210525</v>
      </c>
      <c r="X192" s="74">
        <f>X188</f>
        <v>0</v>
      </c>
      <c r="Y192" s="72"/>
      <c r="Z192" s="72"/>
      <c r="AA192" s="72"/>
      <c r="AB192" s="72"/>
      <c r="AC192" s="72"/>
      <c r="AD192" s="72"/>
      <c r="AE192" s="74">
        <f>AE188</f>
        <v>1</v>
      </c>
      <c r="AF192" s="74">
        <f>AF188</f>
        <v>1</v>
      </c>
      <c r="AG192" s="74">
        <f>AG188</f>
        <v>3</v>
      </c>
      <c r="AH192" s="74">
        <f>AH188</f>
        <v>0</v>
      </c>
      <c r="AI192" s="72"/>
      <c r="AJ192" s="72"/>
      <c r="AK192" s="72"/>
      <c r="AL192" s="72"/>
      <c r="AO192" s="31">
        <f>AO188</f>
        <v>1</v>
      </c>
      <c r="AP192" s="31">
        <f>AP188</f>
        <v>1</v>
      </c>
      <c r="AQ192" s="31">
        <f>AQ188</f>
        <v>6</v>
      </c>
      <c r="AR192" s="31">
        <f>AR188</f>
        <v>0</v>
      </c>
    </row>
    <row r="193" spans="2:45" x14ac:dyDescent="0.3"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T193" s="72"/>
      <c r="U193" s="74">
        <f>U189</f>
        <v>0</v>
      </c>
      <c r="V193" s="74">
        <f>V189</f>
        <v>1</v>
      </c>
      <c r="W193" s="74">
        <f>W189</f>
        <v>-0.16666640277779979</v>
      </c>
      <c r="X193" s="74">
        <f>X189</f>
        <v>0</v>
      </c>
      <c r="Y193" s="72"/>
      <c r="Z193" s="72"/>
      <c r="AA193" s="72"/>
      <c r="AB193" s="72"/>
      <c r="AC193" s="72"/>
      <c r="AD193" s="72"/>
      <c r="AE193" s="74">
        <f>AE189</f>
        <v>0</v>
      </c>
      <c r="AF193" s="74">
        <f>AF189</f>
        <v>0</v>
      </c>
      <c r="AG193" s="74">
        <f>AG189</f>
        <v>0</v>
      </c>
      <c r="AH193" s="74">
        <f>AH189</f>
        <v>0</v>
      </c>
      <c r="AI193" s="72"/>
      <c r="AJ193" s="72"/>
      <c r="AK193" s="72"/>
      <c r="AL193" s="72"/>
      <c r="AO193" s="31">
        <f>AO189</f>
        <v>0</v>
      </c>
      <c r="AP193" s="31">
        <f>AP189</f>
        <v>1</v>
      </c>
      <c r="AQ193" s="31">
        <f>AQ189</f>
        <v>3</v>
      </c>
      <c r="AR193" s="31">
        <f>AR189</f>
        <v>0</v>
      </c>
    </row>
    <row r="194" spans="2:45" x14ac:dyDescent="0.3"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T194" s="72"/>
      <c r="U194" s="74">
        <f>IF(W190=0,0,U190/W190)</f>
        <v>0</v>
      </c>
      <c r="V194" s="74">
        <f>IF(W190=0,0,V190/W190)</f>
        <v>0</v>
      </c>
      <c r="W194" s="74">
        <f>IF(W190=0,0,W190/(W190))</f>
        <v>0</v>
      </c>
      <c r="X194" s="74">
        <f>IF(X190=0,0,X190/X190)</f>
        <v>0</v>
      </c>
      <c r="Y194" s="72" t="s">
        <v>259</v>
      </c>
      <c r="Z194" s="72"/>
      <c r="AA194" s="72"/>
      <c r="AB194" s="72"/>
      <c r="AC194" s="72"/>
      <c r="AD194" s="72"/>
      <c r="AE194" s="74">
        <f>IF(AG190=0,0,AE190/AG190)</f>
        <v>0</v>
      </c>
      <c r="AF194" s="74">
        <f>IF(AG190=0,0,AF190/AG190)</f>
        <v>0</v>
      </c>
      <c r="AG194" s="74">
        <f>IF(AG190=0,0,AG190/(AG190))</f>
        <v>0</v>
      </c>
      <c r="AH194" s="74">
        <f>IF(AH190=0,0,AH190/AH190)</f>
        <v>0</v>
      </c>
      <c r="AI194" s="72" t="s">
        <v>259</v>
      </c>
      <c r="AJ194" s="72"/>
      <c r="AK194" s="72"/>
      <c r="AL194" s="72"/>
      <c r="AO194" s="31">
        <f>IF(AQ190=0,0,AO190/AQ190)</f>
        <v>0</v>
      </c>
      <c r="AP194" s="31">
        <f>IF(AQ190=0,0,AP190/AQ190)</f>
        <v>0</v>
      </c>
      <c r="AQ194" s="31">
        <f>IF(AQ190=0,0,AQ190/(AQ190))</f>
        <v>0</v>
      </c>
      <c r="AR194" s="31">
        <f>IF(AR190=0,0,AR190/AR190)</f>
        <v>0</v>
      </c>
      <c r="AS194" t="s">
        <v>259</v>
      </c>
    </row>
    <row r="195" spans="2:45" ht="14.4" customHeight="1" x14ac:dyDescent="0.3"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</row>
    <row r="196" spans="2:45" ht="14.4" customHeight="1" x14ac:dyDescent="0.3"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T196" s="72"/>
      <c r="U196" s="74">
        <f>U192-U193</f>
        <v>1</v>
      </c>
      <c r="V196" s="74">
        <f>V192-V193</f>
        <v>-1.0526315789473684</v>
      </c>
      <c r="W196" s="74">
        <f>W192-W193</f>
        <v>8.7716659356945337E-3</v>
      </c>
      <c r="X196" s="74">
        <f>X192-X193</f>
        <v>0</v>
      </c>
      <c r="Y196" s="72" t="s">
        <v>258</v>
      </c>
      <c r="Z196" s="72"/>
      <c r="AA196" s="72"/>
      <c r="AB196" s="72"/>
      <c r="AC196" s="72"/>
      <c r="AD196" s="72"/>
      <c r="AE196" s="74">
        <f>AE192-AE193</f>
        <v>1</v>
      </c>
      <c r="AF196" s="74">
        <f>AF192-AF193</f>
        <v>1</v>
      </c>
      <c r="AG196" s="74">
        <f>AG192-AG193</f>
        <v>3</v>
      </c>
      <c r="AH196" s="74">
        <f>AH192-AH193</f>
        <v>0</v>
      </c>
      <c r="AI196" s="72" t="s">
        <v>258</v>
      </c>
      <c r="AJ196" s="72"/>
      <c r="AK196" s="72"/>
      <c r="AL196" s="72"/>
      <c r="AO196" s="31">
        <f>AO192-AO193</f>
        <v>1</v>
      </c>
      <c r="AP196" s="31">
        <f>AP192-AP193</f>
        <v>0</v>
      </c>
      <c r="AQ196" s="31">
        <f>AQ192-AQ193</f>
        <v>3</v>
      </c>
      <c r="AR196" s="31">
        <f>AR192-AR193</f>
        <v>0</v>
      </c>
      <c r="AS196" t="s">
        <v>258</v>
      </c>
    </row>
    <row r="197" spans="2:45" x14ac:dyDescent="0.3"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T197" s="72"/>
      <c r="U197" s="74">
        <f>U193</f>
        <v>0</v>
      </c>
      <c r="V197" s="74">
        <f>V193</f>
        <v>1</v>
      </c>
      <c r="W197" s="74">
        <f>W193</f>
        <v>-0.16666640277779979</v>
      </c>
      <c r="X197" s="74">
        <f>X193</f>
        <v>0</v>
      </c>
      <c r="Y197" s="72"/>
      <c r="Z197" s="72"/>
      <c r="AA197" s="72"/>
      <c r="AB197" s="72"/>
      <c r="AC197" s="72"/>
      <c r="AD197" s="72"/>
      <c r="AE197" s="74">
        <f>AE193</f>
        <v>0</v>
      </c>
      <c r="AF197" s="74">
        <f>AF193</f>
        <v>0</v>
      </c>
      <c r="AG197" s="74">
        <f>AG193</f>
        <v>0</v>
      </c>
      <c r="AH197" s="74">
        <f>AH193</f>
        <v>0</v>
      </c>
      <c r="AI197" s="72"/>
      <c r="AJ197" s="72"/>
      <c r="AK197" s="72"/>
      <c r="AL197" s="72"/>
      <c r="AO197" s="31">
        <f>AO193</f>
        <v>0</v>
      </c>
      <c r="AP197" s="31">
        <f>AP193</f>
        <v>1</v>
      </c>
      <c r="AQ197" s="31">
        <f>AQ193</f>
        <v>3</v>
      </c>
      <c r="AR197" s="31">
        <f>AR193</f>
        <v>0</v>
      </c>
    </row>
    <row r="198" spans="2:45" ht="14.4" customHeight="1" x14ac:dyDescent="0.3"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T198" s="72"/>
      <c r="U198" s="74">
        <f>U194</f>
        <v>0</v>
      </c>
      <c r="V198" s="74">
        <f>V194</f>
        <v>0</v>
      </c>
      <c r="W198" s="74">
        <f>W194</f>
        <v>0</v>
      </c>
      <c r="X198" s="74">
        <f>X194</f>
        <v>0</v>
      </c>
      <c r="Y198" s="72"/>
      <c r="Z198" s="72"/>
      <c r="AA198" s="72"/>
      <c r="AB198" s="72"/>
      <c r="AC198" s="72"/>
      <c r="AD198" s="72"/>
      <c r="AE198" s="74">
        <f>AE194</f>
        <v>0</v>
      </c>
      <c r="AF198" s="74">
        <f>AF194</f>
        <v>0</v>
      </c>
      <c r="AG198" s="74">
        <f>AG194</f>
        <v>0</v>
      </c>
      <c r="AH198" s="74">
        <f>AH194</f>
        <v>0</v>
      </c>
      <c r="AI198" s="72"/>
      <c r="AJ198" s="72"/>
      <c r="AK198" s="72"/>
      <c r="AL198" s="72"/>
      <c r="AO198" s="31">
        <f>AO194</f>
        <v>0</v>
      </c>
      <c r="AP198" s="31">
        <f>AP194</f>
        <v>0</v>
      </c>
      <c r="AQ198" s="31">
        <f>AQ194</f>
        <v>0</v>
      </c>
      <c r="AR198" s="31">
        <f>AR194</f>
        <v>0</v>
      </c>
    </row>
    <row r="199" spans="2:45" ht="14.4" customHeight="1" x14ac:dyDescent="0.3"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</row>
    <row r="200" spans="2:45" x14ac:dyDescent="0.3"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</row>
    <row r="201" spans="2:45" ht="14.4" customHeight="1" x14ac:dyDescent="0.3"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T201" s="72"/>
      <c r="U201" s="72" t="s">
        <v>257</v>
      </c>
      <c r="V201" s="72"/>
      <c r="W201" s="72"/>
      <c r="X201" s="72"/>
      <c r="Y201" s="72"/>
      <c r="Z201" s="72"/>
      <c r="AA201" s="72"/>
      <c r="AB201" s="72"/>
      <c r="AC201" s="72"/>
      <c r="AD201" s="72"/>
      <c r="AE201" s="72" t="s">
        <v>257</v>
      </c>
      <c r="AF201" s="72"/>
      <c r="AG201" s="72"/>
      <c r="AH201" s="72"/>
      <c r="AI201" s="72"/>
      <c r="AJ201" s="72"/>
      <c r="AK201" s="72"/>
      <c r="AL201" s="72"/>
      <c r="AO201" t="s">
        <v>257</v>
      </c>
    </row>
    <row r="202" spans="2:45" ht="14.4" customHeight="1" x14ac:dyDescent="0.3"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</row>
    <row r="203" spans="2:45" ht="14.4" customHeight="1" x14ac:dyDescent="0.3"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T203" s="155"/>
      <c r="U203" s="84" t="s">
        <v>83</v>
      </c>
      <c r="V203" s="84" t="s">
        <v>151</v>
      </c>
      <c r="W203" s="120">
        <f>-((W204*V188)+(W188*W205))</f>
        <v>0.16666665277777892</v>
      </c>
      <c r="X203" s="72"/>
      <c r="Y203" s="72"/>
      <c r="Z203" s="72"/>
      <c r="AA203" s="72"/>
      <c r="AB203" s="72"/>
      <c r="AC203" s="72"/>
      <c r="AD203" s="155"/>
      <c r="AE203" s="84" t="s">
        <v>83</v>
      </c>
      <c r="AF203" s="84" t="s">
        <v>151</v>
      </c>
      <c r="AG203" s="120">
        <f>-((AG204*AF188)+(AG188*AG205))</f>
        <v>1</v>
      </c>
      <c r="AH203" s="72"/>
      <c r="AI203" s="72"/>
      <c r="AJ203" s="72"/>
      <c r="AK203" s="72"/>
      <c r="AL203" s="72"/>
      <c r="AN203" s="155"/>
      <c r="AO203" s="11" t="s">
        <v>83</v>
      </c>
      <c r="AP203" s="11" t="s">
        <v>151</v>
      </c>
      <c r="AQ203" s="120">
        <f>-((AQ204*AP188)+(AQ188*AQ205))</f>
        <v>-3</v>
      </c>
    </row>
    <row r="204" spans="2:45" ht="14.4" customHeight="1" x14ac:dyDescent="0.3"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T204" s="157" t="s">
        <v>345</v>
      </c>
      <c r="U204" s="84" t="s">
        <v>84</v>
      </c>
      <c r="V204" s="84" t="s">
        <v>151</v>
      </c>
      <c r="W204" s="121">
        <f>IF(W197*W205=0,-V196,-W197)</f>
        <v>0.16666640277779979</v>
      </c>
      <c r="X204" s="72"/>
      <c r="Y204" s="72"/>
      <c r="Z204" s="72"/>
      <c r="AA204" s="72"/>
      <c r="AB204" s="72"/>
      <c r="AC204" s="72"/>
      <c r="AD204" s="157" t="s">
        <v>343</v>
      </c>
      <c r="AE204" s="84" t="s">
        <v>84</v>
      </c>
      <c r="AF204" s="84" t="s">
        <v>151</v>
      </c>
      <c r="AG204" s="121">
        <f>IF(AG197*AG205=0,-AF196,-AG197)</f>
        <v>-1</v>
      </c>
      <c r="AH204" s="72"/>
      <c r="AI204" s="72"/>
      <c r="AJ204" s="72"/>
      <c r="AK204" s="72"/>
      <c r="AL204" s="72"/>
      <c r="AN204" s="157" t="s">
        <v>344</v>
      </c>
      <c r="AO204" s="11" t="s">
        <v>84</v>
      </c>
      <c r="AP204" s="11" t="s">
        <v>151</v>
      </c>
      <c r="AQ204" s="121">
        <f>IF(AQ197*AQ205=0,-AP196,-AQ197)</f>
        <v>-3</v>
      </c>
    </row>
    <row r="205" spans="2:45" ht="14.4" customHeight="1" x14ac:dyDescent="0.3"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T205" s="155"/>
      <c r="U205" s="84" t="s">
        <v>85</v>
      </c>
      <c r="V205" s="84" t="s">
        <v>151</v>
      </c>
      <c r="W205" s="122">
        <f>IF(AND(U168=0,V168=0,V162&lt;&gt;0),0,1)</f>
        <v>1</v>
      </c>
      <c r="X205" s="72"/>
      <c r="Y205" s="72"/>
      <c r="Z205" s="72"/>
      <c r="AA205" s="72"/>
      <c r="AB205" s="72"/>
      <c r="AC205" s="72"/>
      <c r="AD205" s="155"/>
      <c r="AE205" s="84" t="s">
        <v>85</v>
      </c>
      <c r="AF205" s="84" t="s">
        <v>151</v>
      </c>
      <c r="AG205" s="122">
        <f>IF(AND(AE168=0,AF168=0,AF162&lt;&gt;0),0,1)</f>
        <v>0</v>
      </c>
      <c r="AH205" s="72"/>
      <c r="AI205" s="72"/>
      <c r="AJ205" s="72"/>
      <c r="AK205" s="72"/>
      <c r="AL205" s="72"/>
      <c r="AN205" s="155"/>
      <c r="AO205" s="11" t="s">
        <v>85</v>
      </c>
      <c r="AP205" s="11" t="s">
        <v>151</v>
      </c>
      <c r="AQ205" s="122">
        <f>IF(AND(AO168=0,AP168=0,AP162&lt;&gt;0),0,1)</f>
        <v>1</v>
      </c>
    </row>
    <row r="206" spans="2:45" x14ac:dyDescent="0.3"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</row>
    <row r="207" spans="2:45" x14ac:dyDescent="0.3"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</row>
    <row r="208" spans="2:45" ht="21" x14ac:dyDescent="0.4"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W208" s="72"/>
      <c r="X208" s="156" t="s">
        <v>256</v>
      </c>
      <c r="Y208" s="156"/>
      <c r="Z208" s="156"/>
      <c r="AA208" s="156"/>
      <c r="AB208" s="156"/>
      <c r="AC208" s="156"/>
      <c r="AD208" s="72"/>
      <c r="AE208" s="72"/>
      <c r="AF208" s="72"/>
      <c r="AG208" s="72"/>
      <c r="AH208" s="72"/>
      <c r="AI208" s="72"/>
      <c r="AJ208" s="72"/>
      <c r="AK208" s="72"/>
      <c r="AL208" s="72"/>
    </row>
    <row r="209" spans="2:38" x14ac:dyDescent="0.3"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</row>
    <row r="210" spans="2:38" x14ac:dyDescent="0.3"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T210" s="72"/>
      <c r="U210" s="101" t="s">
        <v>255</v>
      </c>
      <c r="V210" s="101"/>
      <c r="W210" s="101"/>
      <c r="X210" s="101"/>
      <c r="Y210" s="101"/>
      <c r="Z210" s="101"/>
      <c r="AA210" s="101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</row>
    <row r="211" spans="2:38" x14ac:dyDescent="0.3"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</row>
    <row r="212" spans="2:38" x14ac:dyDescent="0.3"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T212" s="72"/>
      <c r="U212" s="72" t="s">
        <v>254</v>
      </c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</row>
    <row r="213" spans="2:38" x14ac:dyDescent="0.3"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</row>
    <row r="214" spans="2:38" x14ac:dyDescent="0.3"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</row>
    <row r="215" spans="2:38" x14ac:dyDescent="0.3"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</row>
    <row r="216" spans="2:38" x14ac:dyDescent="0.3"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T216" s="72"/>
      <c r="U216" s="72" t="s">
        <v>253</v>
      </c>
      <c r="V216" s="71" t="s">
        <v>252</v>
      </c>
      <c r="W216" s="71"/>
      <c r="X216" s="71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</row>
    <row r="217" spans="2:38" x14ac:dyDescent="0.3"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T217" s="72"/>
      <c r="U217" s="72"/>
      <c r="V217" s="71" t="s">
        <v>251</v>
      </c>
      <c r="W217" s="71"/>
      <c r="X217" s="71"/>
      <c r="Y217" s="71"/>
      <c r="Z217" s="71"/>
      <c r="AA217" s="71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</row>
    <row r="218" spans="2:38" x14ac:dyDescent="0.3"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T218" s="72"/>
      <c r="U218" s="72"/>
      <c r="V218" s="71" t="s">
        <v>250</v>
      </c>
      <c r="W218" s="71"/>
      <c r="X218" s="71"/>
      <c r="Y218" s="71"/>
      <c r="Z218" s="71"/>
      <c r="AA218" s="71"/>
      <c r="AB218" s="71"/>
      <c r="AC218" s="71"/>
      <c r="AD218" s="72"/>
      <c r="AE218" s="72"/>
      <c r="AF218" s="72"/>
      <c r="AG218" s="72"/>
      <c r="AH218" s="72"/>
      <c r="AI218" s="72"/>
      <c r="AJ218" s="72"/>
      <c r="AK218" s="72"/>
      <c r="AL218" s="72"/>
    </row>
    <row r="219" spans="2:38" x14ac:dyDescent="0.3"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T219" s="72"/>
      <c r="U219" s="72"/>
      <c r="V219" s="71" t="s">
        <v>249</v>
      </c>
      <c r="W219" s="71"/>
      <c r="X219" s="71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</row>
    <row r="220" spans="2:38" x14ac:dyDescent="0.3"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</row>
    <row r="221" spans="2:38" ht="18" x14ac:dyDescent="0.35"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T221" s="72"/>
      <c r="U221" s="123" t="s">
        <v>248</v>
      </c>
      <c r="V221" s="74">
        <v>-2</v>
      </c>
      <c r="W221" s="74">
        <v>-4</v>
      </c>
      <c r="X221" s="74">
        <v>2</v>
      </c>
      <c r="Y221" s="72"/>
      <c r="Z221" s="72"/>
      <c r="AA221" s="158" t="s">
        <v>247</v>
      </c>
      <c r="AB221" s="159"/>
      <c r="AC221" s="159"/>
      <c r="AD221" s="159"/>
      <c r="AE221" s="159"/>
      <c r="AF221" s="159"/>
      <c r="AG221" s="160"/>
      <c r="AH221" s="72"/>
      <c r="AI221" s="72"/>
      <c r="AJ221" s="72"/>
      <c r="AK221" s="72"/>
      <c r="AL221" s="72"/>
    </row>
    <row r="222" spans="2:38" x14ac:dyDescent="0.3"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T222" s="72"/>
      <c r="U222" s="123"/>
      <c r="V222" s="74">
        <v>-2</v>
      </c>
      <c r="W222" s="74">
        <v>1</v>
      </c>
      <c r="X222" s="74">
        <v>2</v>
      </c>
      <c r="Y222" s="72"/>
      <c r="Z222" s="72"/>
      <c r="AA222" s="96"/>
      <c r="AB222" s="72"/>
      <c r="AC222" s="72"/>
      <c r="AD222" s="72"/>
      <c r="AE222" s="72"/>
      <c r="AF222" s="72"/>
      <c r="AG222" s="97"/>
      <c r="AH222" s="72"/>
      <c r="AI222" s="72"/>
      <c r="AJ222" s="72"/>
      <c r="AK222" s="72"/>
      <c r="AL222" s="72"/>
    </row>
    <row r="223" spans="2:38" x14ac:dyDescent="0.3"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T223" s="72"/>
      <c r="U223" s="123"/>
      <c r="V223" s="74">
        <v>4</v>
      </c>
      <c r="W223" s="74">
        <v>2</v>
      </c>
      <c r="X223" s="74">
        <v>5</v>
      </c>
      <c r="Y223" s="72"/>
      <c r="Z223" s="72"/>
      <c r="AA223" s="118" t="s">
        <v>235</v>
      </c>
      <c r="AB223" s="74">
        <f>V227</f>
        <v>0.16666665277777892</v>
      </c>
      <c r="AC223" s="74">
        <f>W227</f>
        <v>1</v>
      </c>
      <c r="AD223" s="74">
        <f>X227</f>
        <v>-3</v>
      </c>
      <c r="AE223" s="72"/>
      <c r="AF223" s="72"/>
      <c r="AG223" s="97"/>
      <c r="AH223" s="72"/>
      <c r="AI223" s="72"/>
      <c r="AJ223" s="72"/>
      <c r="AK223" s="72"/>
      <c r="AL223" s="72"/>
    </row>
    <row r="224" spans="2:38" x14ac:dyDescent="0.3"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T224" s="72"/>
      <c r="U224" s="72"/>
      <c r="V224" s="72"/>
      <c r="W224" s="72"/>
      <c r="X224" s="72"/>
      <c r="Y224" s="72"/>
      <c r="Z224" s="72"/>
      <c r="AA224" s="118"/>
      <c r="AB224" s="74">
        <f>V228</f>
        <v>0.16666640277779979</v>
      </c>
      <c r="AC224" s="74">
        <f>W228</f>
        <v>-1</v>
      </c>
      <c r="AD224" s="74">
        <f>X228</f>
        <v>-3</v>
      </c>
      <c r="AE224" s="72"/>
      <c r="AF224" s="72"/>
      <c r="AG224" s="97"/>
      <c r="AH224" s="72"/>
      <c r="AI224" s="72"/>
      <c r="AJ224" s="72"/>
      <c r="AK224" s="72"/>
      <c r="AL224" s="72"/>
    </row>
    <row r="225" spans="2:38" x14ac:dyDescent="0.3"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T225" s="72"/>
      <c r="U225" s="72" t="s">
        <v>246</v>
      </c>
      <c r="V225" s="102" t="s">
        <v>245</v>
      </c>
      <c r="W225" s="124" t="s">
        <v>151</v>
      </c>
      <c r="X225" s="125">
        <v>1</v>
      </c>
      <c r="Y225" s="72"/>
      <c r="Z225" s="72"/>
      <c r="AA225" s="118"/>
      <c r="AB225" s="74">
        <f>V229</f>
        <v>1</v>
      </c>
      <c r="AC225" s="74">
        <f>W229</f>
        <v>0</v>
      </c>
      <c r="AD225" s="74">
        <f>X229</f>
        <v>1</v>
      </c>
      <c r="AE225" s="72"/>
      <c r="AF225" s="72"/>
      <c r="AG225" s="97"/>
      <c r="AH225" s="72"/>
      <c r="AI225" s="72"/>
      <c r="AJ225" s="72"/>
      <c r="AK225" s="72"/>
      <c r="AL225" s="72"/>
    </row>
    <row r="226" spans="2:38" x14ac:dyDescent="0.3"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T226" s="72"/>
      <c r="U226" s="72"/>
      <c r="V226" s="72"/>
      <c r="W226" s="72"/>
      <c r="X226" s="72"/>
      <c r="Y226" s="72"/>
      <c r="Z226" s="72"/>
      <c r="AA226" s="96"/>
      <c r="AB226" s="72"/>
      <c r="AC226" s="72"/>
      <c r="AD226" s="72"/>
      <c r="AE226" s="72"/>
      <c r="AF226" s="72"/>
      <c r="AG226" s="97"/>
      <c r="AH226" s="72"/>
      <c r="AI226" s="72"/>
      <c r="AJ226" s="72"/>
      <c r="AK226" s="72"/>
      <c r="AL226" s="72"/>
    </row>
    <row r="227" spans="2:38" x14ac:dyDescent="0.3"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T227" s="72"/>
      <c r="U227" s="123" t="s">
        <v>235</v>
      </c>
      <c r="V227" s="74">
        <f>W203</f>
        <v>0.16666665277777892</v>
      </c>
      <c r="W227" s="74">
        <f>AG203</f>
        <v>1</v>
      </c>
      <c r="X227" s="74">
        <f>AQ203</f>
        <v>-3</v>
      </c>
      <c r="Y227" s="72"/>
      <c r="Z227" s="72"/>
      <c r="AA227" s="126" t="s">
        <v>243</v>
      </c>
      <c r="AB227" s="72"/>
      <c r="AC227" s="72"/>
      <c r="AD227" s="72"/>
      <c r="AE227" s="72"/>
      <c r="AF227" s="72"/>
      <c r="AG227" s="97"/>
      <c r="AH227" s="72"/>
      <c r="AI227" s="72"/>
      <c r="AJ227" s="72"/>
      <c r="AK227" s="72"/>
      <c r="AL227" s="72"/>
    </row>
    <row r="228" spans="2:38" x14ac:dyDescent="0.3"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T228" s="72"/>
      <c r="U228" s="123"/>
      <c r="V228" s="74">
        <f>W204</f>
        <v>0.16666640277779979</v>
      </c>
      <c r="W228" s="74">
        <f>AG204</f>
        <v>-1</v>
      </c>
      <c r="X228" s="74">
        <f>AQ204</f>
        <v>-3</v>
      </c>
      <c r="Y228" s="72"/>
      <c r="Z228" s="72"/>
      <c r="AA228" s="126"/>
      <c r="AB228" s="72"/>
      <c r="AC228" s="72"/>
      <c r="AD228" s="72"/>
      <c r="AE228" s="72"/>
      <c r="AF228" s="72"/>
      <c r="AG228" s="97"/>
      <c r="AH228" s="72"/>
      <c r="AI228" s="72"/>
      <c r="AJ228" s="72"/>
      <c r="AK228" s="72"/>
      <c r="AL228" s="72"/>
    </row>
    <row r="229" spans="2:38" x14ac:dyDescent="0.3"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T229" s="72"/>
      <c r="U229" s="123"/>
      <c r="V229" s="74">
        <f>W205</f>
        <v>1</v>
      </c>
      <c r="W229" s="74">
        <f>AG205</f>
        <v>0</v>
      </c>
      <c r="X229" s="74">
        <f>AQ205</f>
        <v>1</v>
      </c>
      <c r="Y229" s="72"/>
      <c r="Z229" s="72"/>
      <c r="AA229" s="126"/>
      <c r="AB229" s="72"/>
      <c r="AC229" s="72"/>
      <c r="AD229" s="72"/>
      <c r="AE229" s="72"/>
      <c r="AF229" s="72"/>
      <c r="AG229" s="97"/>
      <c r="AH229" s="72"/>
      <c r="AI229" s="72"/>
      <c r="AJ229" s="72"/>
      <c r="AK229" s="72"/>
      <c r="AL229" s="72"/>
    </row>
    <row r="230" spans="2:38" x14ac:dyDescent="0.3"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T230" s="72"/>
      <c r="U230" s="72"/>
      <c r="V230" s="72"/>
      <c r="W230" s="72"/>
      <c r="X230" s="72"/>
      <c r="Y230" s="72"/>
      <c r="Z230" s="72"/>
      <c r="AA230" s="126"/>
      <c r="AB230" s="72"/>
      <c r="AC230" s="72"/>
      <c r="AD230" s="72"/>
      <c r="AE230" s="72"/>
      <c r="AF230" s="72"/>
      <c r="AG230" s="97"/>
      <c r="AH230" s="72"/>
      <c r="AI230" s="72"/>
      <c r="AJ230" s="72"/>
      <c r="AK230" s="72"/>
      <c r="AL230" s="72"/>
    </row>
    <row r="231" spans="2:38" x14ac:dyDescent="0.3"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T231" s="72"/>
      <c r="U231" s="123" t="s">
        <v>244</v>
      </c>
      <c r="V231" s="74">
        <f>W106</f>
        <v>21</v>
      </c>
      <c r="W231" s="74">
        <v>0</v>
      </c>
      <c r="X231" s="74">
        <v>0</v>
      </c>
      <c r="Y231" s="72"/>
      <c r="Z231" s="72"/>
      <c r="AA231" s="126"/>
      <c r="AB231" s="72"/>
      <c r="AC231" s="72"/>
      <c r="AD231" s="72"/>
      <c r="AE231" s="72"/>
      <c r="AF231" s="72"/>
      <c r="AG231" s="97"/>
      <c r="AH231" s="72"/>
      <c r="AI231" s="72"/>
      <c r="AJ231" s="72"/>
      <c r="AK231" s="72"/>
      <c r="AL231" s="72"/>
    </row>
    <row r="232" spans="2:38" x14ac:dyDescent="0.3"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T232" s="72"/>
      <c r="U232" s="123"/>
      <c r="V232" s="74">
        <v>0</v>
      </c>
      <c r="W232" s="74">
        <f>W107</f>
        <v>1</v>
      </c>
      <c r="X232" s="74">
        <v>0</v>
      </c>
      <c r="Y232" s="72"/>
      <c r="Z232" s="72"/>
      <c r="AA232" s="126"/>
      <c r="AB232" s="72"/>
      <c r="AC232" s="72"/>
      <c r="AD232" s="72"/>
      <c r="AE232" s="72"/>
      <c r="AF232" s="72"/>
      <c r="AG232" s="97"/>
      <c r="AH232" s="72"/>
      <c r="AI232" s="72"/>
      <c r="AJ232" s="72"/>
      <c r="AK232" s="72"/>
      <c r="AL232" s="72"/>
    </row>
    <row r="233" spans="2:38" x14ac:dyDescent="0.3"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T233" s="72"/>
      <c r="U233" s="123"/>
      <c r="V233" s="74">
        <v>0</v>
      </c>
      <c r="W233" s="74">
        <v>0</v>
      </c>
      <c r="X233" s="74">
        <f>W108</f>
        <v>2</v>
      </c>
      <c r="Y233" s="72"/>
      <c r="Z233" s="72"/>
      <c r="AA233" s="126" t="s">
        <v>243</v>
      </c>
      <c r="AB233" s="84" t="s">
        <v>151</v>
      </c>
      <c r="AC233" s="72">
        <f>AB223*(AC224*AD225-AD224*AC225)-AC223*(AB224*AD225-AD224*AB225)+AD223*(AB224*AC225-AC224*AB225)</f>
        <v>-6.3333330555555785</v>
      </c>
      <c r="AD233" s="72"/>
      <c r="AE233" s="72"/>
      <c r="AF233" s="72"/>
      <c r="AG233" s="97"/>
      <c r="AH233" s="72"/>
      <c r="AI233" s="72"/>
      <c r="AJ233" s="72"/>
      <c r="AK233" s="72"/>
      <c r="AL233" s="72"/>
    </row>
    <row r="234" spans="2:38" x14ac:dyDescent="0.3"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T234" s="72"/>
      <c r="U234" s="72"/>
      <c r="V234" s="72"/>
      <c r="W234" s="72"/>
      <c r="X234" s="72"/>
      <c r="Y234" s="72"/>
      <c r="Z234" s="72"/>
      <c r="AA234" s="126"/>
      <c r="AB234" s="84"/>
      <c r="AC234" s="72"/>
      <c r="AD234" s="72"/>
      <c r="AE234" s="72"/>
      <c r="AF234" s="72"/>
      <c r="AG234" s="97"/>
      <c r="AH234" s="72"/>
      <c r="AI234" s="72"/>
      <c r="AJ234" s="72"/>
      <c r="AK234" s="72"/>
      <c r="AL234" s="72"/>
    </row>
    <row r="235" spans="2:38" x14ac:dyDescent="0.3"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T235" s="72"/>
      <c r="U235" s="123" t="s">
        <v>183</v>
      </c>
      <c r="V235" s="74">
        <f>V231^X225</f>
        <v>21</v>
      </c>
      <c r="W235" s="74">
        <f>W231</f>
        <v>0</v>
      </c>
      <c r="X235" s="74">
        <f>X231</f>
        <v>0</v>
      </c>
      <c r="Y235" s="72"/>
      <c r="Z235" s="72"/>
      <c r="AA235" s="115" t="s">
        <v>242</v>
      </c>
      <c r="AB235" s="84" t="s">
        <v>151</v>
      </c>
      <c r="AC235" s="74">
        <f>AC224*AD225-AD224*AC225</f>
        <v>-1</v>
      </c>
      <c r="AD235" s="74">
        <f>AB224*AD225-AD224*AB225</f>
        <v>3.1666664027777998</v>
      </c>
      <c r="AE235" s="74">
        <f>AB224*AC225-AC224*AB225</f>
        <v>1</v>
      </c>
      <c r="AF235" s="72"/>
      <c r="AG235" s="97"/>
      <c r="AH235" s="72"/>
      <c r="AI235" s="72"/>
      <c r="AJ235" s="72"/>
      <c r="AK235" s="72"/>
      <c r="AL235" s="72"/>
    </row>
    <row r="236" spans="2:38" x14ac:dyDescent="0.3"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T236" s="72"/>
      <c r="U236" s="123"/>
      <c r="V236" s="74">
        <f>V232</f>
        <v>0</v>
      </c>
      <c r="W236" s="74">
        <f>W232^X225</f>
        <v>1</v>
      </c>
      <c r="X236" s="74">
        <f>X232</f>
        <v>0</v>
      </c>
      <c r="Y236" s="72"/>
      <c r="Z236" s="72"/>
      <c r="AA236" s="115"/>
      <c r="AB236" s="84"/>
      <c r="AC236" s="74">
        <f>AC223*AD225-AD223*AC225</f>
        <v>1</v>
      </c>
      <c r="AD236" s="74">
        <f>AB223*AD225-AD223*AB225</f>
        <v>3.1666666527777787</v>
      </c>
      <c r="AE236" s="74">
        <f>AB223*AC225-AC223*AB225</f>
        <v>-1</v>
      </c>
      <c r="AF236" s="72"/>
      <c r="AG236" s="97"/>
      <c r="AH236" s="72"/>
      <c r="AI236" s="72"/>
      <c r="AJ236" s="72"/>
      <c r="AK236" s="72"/>
      <c r="AL236" s="72"/>
    </row>
    <row r="237" spans="2:38" x14ac:dyDescent="0.3"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T237" s="72"/>
      <c r="U237" s="123"/>
      <c r="V237" s="74">
        <f>V233</f>
        <v>0</v>
      </c>
      <c r="W237" s="74">
        <f>W233</f>
        <v>0</v>
      </c>
      <c r="X237" s="74">
        <f>X233^X225</f>
        <v>2</v>
      </c>
      <c r="Y237" s="72"/>
      <c r="Z237" s="72"/>
      <c r="AA237" s="115"/>
      <c r="AB237" s="84"/>
      <c r="AC237" s="74">
        <f>AC223*AD224-AD223*AC224</f>
        <v>-6</v>
      </c>
      <c r="AD237" s="74">
        <f>ROUND(AB223*AD224-AD223*AB224,5)</f>
        <v>0</v>
      </c>
      <c r="AE237" s="74">
        <f>ROUND(AB223*AC224-AC223*AB224,5)</f>
        <v>-0.33333000000000002</v>
      </c>
      <c r="AF237" s="72"/>
      <c r="AG237" s="97"/>
      <c r="AH237" s="72"/>
      <c r="AI237" s="72"/>
      <c r="AJ237" s="72"/>
      <c r="AK237" s="72"/>
      <c r="AL237" s="72"/>
    </row>
    <row r="238" spans="2:38" x14ac:dyDescent="0.3"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T238" s="72"/>
      <c r="U238" s="72"/>
      <c r="V238" s="72"/>
      <c r="W238" s="72"/>
      <c r="X238" s="72"/>
      <c r="Y238" s="72"/>
      <c r="Z238" s="72"/>
      <c r="AA238" s="126"/>
      <c r="AB238" s="84"/>
      <c r="AC238" s="72"/>
      <c r="AD238" s="72"/>
      <c r="AE238" s="72"/>
      <c r="AF238" s="72"/>
      <c r="AG238" s="97"/>
      <c r="AH238" s="72"/>
      <c r="AI238" s="72"/>
      <c r="AJ238" s="72"/>
      <c r="AK238" s="72"/>
      <c r="AL238" s="72"/>
    </row>
    <row r="239" spans="2:38" x14ac:dyDescent="0.3"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T239" s="72"/>
      <c r="U239" s="123" t="s">
        <v>185</v>
      </c>
      <c r="V239" s="127">
        <f>AC251</f>
        <v>0.15789474376731275</v>
      </c>
      <c r="W239" s="74">
        <f>AD251</f>
        <v>0.15789474376731275</v>
      </c>
      <c r="X239" s="74">
        <f>AE251</f>
        <v>0.94736846260387653</v>
      </c>
      <c r="Y239" s="72"/>
      <c r="Z239" s="72"/>
      <c r="AA239" s="115" t="s">
        <v>241</v>
      </c>
      <c r="AB239" s="84" t="s">
        <v>151</v>
      </c>
      <c r="AC239" s="74">
        <f>AC235</f>
        <v>-1</v>
      </c>
      <c r="AD239" s="74">
        <f>-AD235</f>
        <v>-3.1666664027777998</v>
      </c>
      <c r="AE239" s="74">
        <f>AE235</f>
        <v>1</v>
      </c>
      <c r="AF239" s="72"/>
      <c r="AG239" s="97"/>
      <c r="AH239" s="72"/>
      <c r="AI239" s="72"/>
      <c r="AJ239" s="72"/>
      <c r="AK239" s="72"/>
      <c r="AL239" s="72"/>
    </row>
    <row r="240" spans="2:38" x14ac:dyDescent="0.3"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T240" s="72"/>
      <c r="U240" s="123"/>
      <c r="V240" s="127">
        <f>AC252</f>
        <v>0.49999998026315867</v>
      </c>
      <c r="W240" s="74">
        <f>AD252</f>
        <v>-0.50000001973684127</v>
      </c>
      <c r="X240" s="74">
        <f>AE252</f>
        <v>0</v>
      </c>
      <c r="Y240" s="72"/>
      <c r="Z240" s="72"/>
      <c r="AA240" s="115"/>
      <c r="AB240" s="84"/>
      <c r="AC240" s="74">
        <f>-AC236</f>
        <v>-1</v>
      </c>
      <c r="AD240" s="74">
        <f>AD236</f>
        <v>3.1666666527777787</v>
      </c>
      <c r="AE240" s="74">
        <f>-AE236</f>
        <v>1</v>
      </c>
      <c r="AF240" s="72"/>
      <c r="AG240" s="97"/>
      <c r="AH240" s="72"/>
      <c r="AI240" s="72"/>
      <c r="AJ240" s="72"/>
      <c r="AK240" s="72"/>
      <c r="AL240" s="72"/>
    </row>
    <row r="241" spans="2:38" x14ac:dyDescent="0.3"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T241" s="72"/>
      <c r="U241" s="123"/>
      <c r="V241" s="127">
        <f>AC253</f>
        <v>-0.15789474376731275</v>
      </c>
      <c r="W241" s="74">
        <f>AD253</f>
        <v>-0.15789474376731275</v>
      </c>
      <c r="X241" s="74">
        <f>AE253</f>
        <v>5.2631054939958358E-2</v>
      </c>
      <c r="Y241" s="72"/>
      <c r="Z241" s="72"/>
      <c r="AA241" s="115"/>
      <c r="AB241" s="84"/>
      <c r="AC241" s="74">
        <f>AC237</f>
        <v>-6</v>
      </c>
      <c r="AD241" s="74">
        <f>-AD237</f>
        <v>0</v>
      </c>
      <c r="AE241" s="74">
        <f>AE237</f>
        <v>-0.33333000000000002</v>
      </c>
      <c r="AF241" s="72"/>
      <c r="AG241" s="97"/>
      <c r="AH241" s="72"/>
      <c r="AI241" s="72"/>
      <c r="AJ241" s="72"/>
      <c r="AK241" s="72"/>
      <c r="AL241" s="72"/>
    </row>
    <row r="242" spans="2:38" x14ac:dyDescent="0.3"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T242" s="72"/>
      <c r="U242" s="72"/>
      <c r="V242" s="72"/>
      <c r="W242" s="72"/>
      <c r="X242" s="72"/>
      <c r="Y242" s="72"/>
      <c r="Z242" s="72"/>
      <c r="AA242" s="126"/>
      <c r="AB242" s="84"/>
      <c r="AC242" s="72"/>
      <c r="AD242" s="72"/>
      <c r="AE242" s="72"/>
      <c r="AF242" s="72"/>
      <c r="AG242" s="97"/>
      <c r="AH242" s="72"/>
      <c r="AI242" s="72"/>
      <c r="AJ242" s="72"/>
      <c r="AK242" s="72"/>
      <c r="AL242" s="72"/>
    </row>
    <row r="243" spans="2:38" x14ac:dyDescent="0.3"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T243" s="72"/>
      <c r="U243" s="72"/>
      <c r="V243" s="72"/>
      <c r="W243" s="72"/>
      <c r="X243" s="72"/>
      <c r="Y243" s="72"/>
      <c r="Z243" s="72"/>
      <c r="AA243" s="115" t="s">
        <v>240</v>
      </c>
      <c r="AB243" s="84" t="s">
        <v>151</v>
      </c>
      <c r="AC243" s="74">
        <f>AC239</f>
        <v>-1</v>
      </c>
      <c r="AD243" s="74">
        <f>AC240</f>
        <v>-1</v>
      </c>
      <c r="AE243" s="74">
        <f>AC241</f>
        <v>-6</v>
      </c>
      <c r="AF243" s="72"/>
      <c r="AG243" s="97"/>
      <c r="AH243" s="72"/>
      <c r="AI243" s="72"/>
      <c r="AJ243" s="72"/>
      <c r="AK243" s="72"/>
      <c r="AL243" s="72"/>
    </row>
    <row r="244" spans="2:38" x14ac:dyDescent="0.3"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T244" s="72"/>
      <c r="U244" s="72"/>
      <c r="V244" s="72"/>
      <c r="W244" s="72"/>
      <c r="X244" s="72"/>
      <c r="Y244" s="72"/>
      <c r="Z244" s="72"/>
      <c r="AA244" s="115"/>
      <c r="AB244" s="84"/>
      <c r="AC244" s="74">
        <f>AD239</f>
        <v>-3.1666664027777998</v>
      </c>
      <c r="AD244" s="74">
        <f>AD240</f>
        <v>3.1666666527777787</v>
      </c>
      <c r="AE244" s="74">
        <f>AD241</f>
        <v>0</v>
      </c>
      <c r="AF244" s="72"/>
      <c r="AG244" s="97"/>
      <c r="AH244" s="72"/>
      <c r="AI244" s="72"/>
      <c r="AJ244" s="72"/>
      <c r="AK244" s="72"/>
      <c r="AL244" s="72"/>
    </row>
    <row r="245" spans="2:38" x14ac:dyDescent="0.3"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T245" s="72"/>
      <c r="U245" s="72"/>
      <c r="V245" s="72"/>
      <c r="W245" s="72"/>
      <c r="X245" s="72"/>
      <c r="Y245" s="72"/>
      <c r="Z245" s="72"/>
      <c r="AA245" s="115"/>
      <c r="AB245" s="84"/>
      <c r="AC245" s="74">
        <f>AE239</f>
        <v>1</v>
      </c>
      <c r="AD245" s="74">
        <f>AE240</f>
        <v>1</v>
      </c>
      <c r="AE245" s="74">
        <f>AE241</f>
        <v>-0.33333000000000002</v>
      </c>
      <c r="AF245" s="72"/>
      <c r="AG245" s="97"/>
      <c r="AH245" s="72"/>
      <c r="AI245" s="72"/>
      <c r="AJ245" s="72"/>
      <c r="AK245" s="72"/>
      <c r="AL245" s="72"/>
    </row>
    <row r="246" spans="2:38" x14ac:dyDescent="0.3"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T246" s="72"/>
      <c r="U246" s="72"/>
      <c r="V246" s="72"/>
      <c r="W246" s="72"/>
      <c r="X246" s="72"/>
      <c r="Y246" s="72"/>
      <c r="Z246" s="72"/>
      <c r="AA246" s="126"/>
      <c r="AB246" s="84"/>
      <c r="AC246" s="72"/>
      <c r="AD246" s="72"/>
      <c r="AE246" s="72"/>
      <c r="AF246" s="72"/>
      <c r="AG246" s="97"/>
      <c r="AH246" s="72"/>
      <c r="AI246" s="72"/>
      <c r="AJ246" s="72"/>
      <c r="AK246" s="72"/>
      <c r="AL246" s="72"/>
    </row>
    <row r="247" spans="2:38" x14ac:dyDescent="0.3"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T247" s="72"/>
      <c r="U247" s="72"/>
      <c r="V247" s="72"/>
      <c r="W247" s="72"/>
      <c r="X247" s="72"/>
      <c r="Y247" s="72"/>
      <c r="Z247" s="72"/>
      <c r="AA247" s="126" t="s">
        <v>239</v>
      </c>
      <c r="AB247" s="84" t="s">
        <v>151</v>
      </c>
      <c r="AC247" s="72">
        <f>1/AC233</f>
        <v>-0.15789474376731275</v>
      </c>
      <c r="AD247" s="72"/>
      <c r="AE247" s="72"/>
      <c r="AF247" s="72"/>
      <c r="AG247" s="97"/>
      <c r="AH247" s="72"/>
      <c r="AI247" s="72"/>
      <c r="AJ247" s="72"/>
      <c r="AK247" s="72"/>
      <c r="AL247" s="72"/>
    </row>
    <row r="248" spans="2:38" x14ac:dyDescent="0.3"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T248" s="72"/>
      <c r="U248" s="72"/>
      <c r="V248" s="72"/>
      <c r="W248" s="72"/>
      <c r="X248" s="72"/>
      <c r="Y248" s="72"/>
      <c r="Z248" s="72"/>
      <c r="AA248" s="126"/>
      <c r="AB248" s="72"/>
      <c r="AC248" s="72"/>
      <c r="AD248" s="72"/>
      <c r="AE248" s="72"/>
      <c r="AF248" s="72"/>
      <c r="AG248" s="97"/>
      <c r="AH248" s="72"/>
      <c r="AI248" s="72"/>
      <c r="AJ248" s="72"/>
      <c r="AK248" s="72"/>
      <c r="AL248" s="72"/>
    </row>
    <row r="249" spans="2:38" x14ac:dyDescent="0.3"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T249" s="72"/>
      <c r="U249" s="72"/>
      <c r="V249" s="72"/>
      <c r="W249" s="72"/>
      <c r="X249" s="72"/>
      <c r="Y249" s="72"/>
      <c r="Z249" s="72"/>
      <c r="AA249" s="126" t="s">
        <v>185</v>
      </c>
      <c r="AB249" s="84" t="s">
        <v>151</v>
      </c>
      <c r="AC249" s="89" t="s">
        <v>238</v>
      </c>
      <c r="AD249" s="89"/>
      <c r="AE249" s="89"/>
      <c r="AF249" s="72"/>
      <c r="AG249" s="97"/>
      <c r="AH249" s="72"/>
      <c r="AI249" s="72"/>
      <c r="AJ249" s="72"/>
      <c r="AK249" s="72"/>
      <c r="AL249" s="72"/>
    </row>
    <row r="250" spans="2:38" x14ac:dyDescent="0.3"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T250" s="72"/>
      <c r="U250" s="72"/>
      <c r="V250" s="72"/>
      <c r="W250" s="72"/>
      <c r="X250" s="72"/>
      <c r="Y250" s="72"/>
      <c r="Z250" s="72"/>
      <c r="AA250" s="126"/>
      <c r="AB250" s="72"/>
      <c r="AC250" s="72"/>
      <c r="AD250" s="72"/>
      <c r="AE250" s="72"/>
      <c r="AF250" s="72"/>
      <c r="AG250" s="97"/>
      <c r="AH250" s="72"/>
      <c r="AI250" s="72"/>
      <c r="AJ250" s="72"/>
      <c r="AK250" s="72"/>
      <c r="AL250" s="72"/>
    </row>
    <row r="251" spans="2:38" x14ac:dyDescent="0.3"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T251" s="72"/>
      <c r="U251" s="72"/>
      <c r="V251" s="72"/>
      <c r="W251" s="72"/>
      <c r="X251" s="72"/>
      <c r="Y251" s="72"/>
      <c r="Z251" s="72"/>
      <c r="AA251" s="115" t="s">
        <v>185</v>
      </c>
      <c r="AB251" s="123" t="s">
        <v>151</v>
      </c>
      <c r="AC251" s="74">
        <f>AC247*AC243</f>
        <v>0.15789474376731275</v>
      </c>
      <c r="AD251" s="74">
        <f>AC247*AD243</f>
        <v>0.15789474376731275</v>
      </c>
      <c r="AE251" s="74">
        <f>AC247*AE243</f>
        <v>0.94736846260387653</v>
      </c>
      <c r="AF251" s="72"/>
      <c r="AG251" s="97"/>
      <c r="AH251" s="72"/>
      <c r="AI251" s="72"/>
      <c r="AJ251" s="72"/>
      <c r="AK251" s="72"/>
      <c r="AL251" s="72"/>
    </row>
    <row r="252" spans="2:38" x14ac:dyDescent="0.3"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T252" s="72"/>
      <c r="U252" s="72"/>
      <c r="V252" s="72"/>
      <c r="W252" s="72"/>
      <c r="X252" s="72"/>
      <c r="Y252" s="72"/>
      <c r="Z252" s="72"/>
      <c r="AA252" s="115"/>
      <c r="AB252" s="123"/>
      <c r="AC252" s="74">
        <f>AC247*AC244</f>
        <v>0.49999998026315867</v>
      </c>
      <c r="AD252" s="74">
        <f>AC247*AD244</f>
        <v>-0.50000001973684127</v>
      </c>
      <c r="AE252" s="74">
        <f>AC247*AE244</f>
        <v>0</v>
      </c>
      <c r="AF252" s="72"/>
      <c r="AG252" s="97"/>
      <c r="AH252" s="72"/>
      <c r="AI252" s="72"/>
      <c r="AJ252" s="72"/>
      <c r="AK252" s="72"/>
      <c r="AL252" s="72"/>
    </row>
    <row r="253" spans="2:38" x14ac:dyDescent="0.3"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T253" s="72"/>
      <c r="U253" s="72"/>
      <c r="V253" s="72"/>
      <c r="W253" s="72"/>
      <c r="X253" s="72"/>
      <c r="Y253" s="72"/>
      <c r="Z253" s="72"/>
      <c r="AA253" s="115"/>
      <c r="AB253" s="123"/>
      <c r="AC253" s="74">
        <f>AC247*AC245</f>
        <v>-0.15789474376731275</v>
      </c>
      <c r="AD253" s="74">
        <f>AC247*AD245</f>
        <v>-0.15789474376731275</v>
      </c>
      <c r="AE253" s="74">
        <f>AC247*AE245</f>
        <v>5.2631054939958358E-2</v>
      </c>
      <c r="AF253" s="72"/>
      <c r="AG253" s="97"/>
      <c r="AH253" s="72"/>
      <c r="AI253" s="72"/>
      <c r="AJ253" s="72"/>
      <c r="AK253" s="72"/>
      <c r="AL253" s="72"/>
    </row>
    <row r="254" spans="2:38" x14ac:dyDescent="0.3"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T254" s="72"/>
      <c r="U254" s="72"/>
      <c r="V254" s="72"/>
      <c r="W254" s="72"/>
      <c r="X254" s="72"/>
      <c r="Y254" s="72"/>
      <c r="Z254" s="72"/>
      <c r="AA254" s="128"/>
      <c r="AB254" s="129"/>
      <c r="AC254" s="129"/>
      <c r="AD254" s="129"/>
      <c r="AE254" s="129"/>
      <c r="AF254" s="129"/>
      <c r="AG254" s="100"/>
      <c r="AH254" s="72"/>
      <c r="AI254" s="72"/>
      <c r="AJ254" s="72"/>
      <c r="AK254" s="72"/>
      <c r="AL254" s="72"/>
    </row>
    <row r="255" spans="2:38" x14ac:dyDescent="0.3"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</row>
    <row r="256" spans="2:38" x14ac:dyDescent="0.3"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</row>
    <row r="257" spans="2:38" x14ac:dyDescent="0.3"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</row>
    <row r="258" spans="2:38" x14ac:dyDescent="0.3"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</row>
    <row r="259" spans="2:38" x14ac:dyDescent="0.3"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T259" s="72"/>
      <c r="U259" s="102" t="str">
        <f>"A^"&amp;X225</f>
        <v>A^1</v>
      </c>
      <c r="V259" s="124" t="s">
        <v>151</v>
      </c>
      <c r="W259" s="130" t="s">
        <v>237</v>
      </c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</row>
    <row r="260" spans="2:38" x14ac:dyDescent="0.3"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</row>
    <row r="261" spans="2:38" x14ac:dyDescent="0.3"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T261" s="72"/>
      <c r="U261" s="84" t="s">
        <v>236</v>
      </c>
      <c r="V261" s="84" t="s">
        <v>151</v>
      </c>
      <c r="W261" s="131" t="s">
        <v>235</v>
      </c>
      <c r="X261" s="131"/>
      <c r="Y261" s="131"/>
      <c r="Z261" s="84" t="s">
        <v>233</v>
      </c>
      <c r="AA261" s="131" t="s">
        <v>183</v>
      </c>
      <c r="AB261" s="131"/>
      <c r="AC261" s="131"/>
      <c r="AD261" s="84" t="s">
        <v>233</v>
      </c>
      <c r="AE261" s="131" t="s">
        <v>185</v>
      </c>
      <c r="AF261" s="131"/>
      <c r="AG261" s="131"/>
      <c r="AH261" s="72"/>
      <c r="AI261" s="72"/>
      <c r="AJ261" s="72"/>
      <c r="AK261" s="72"/>
      <c r="AL261" s="72"/>
    </row>
    <row r="262" spans="2:38" x14ac:dyDescent="0.3"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T262" s="72"/>
      <c r="U262" s="72"/>
      <c r="V262" s="72"/>
      <c r="W262" s="74">
        <f>V227</f>
        <v>0.16666665277777892</v>
      </c>
      <c r="X262" s="74">
        <f>W227</f>
        <v>1</v>
      </c>
      <c r="Y262" s="74">
        <f>X227</f>
        <v>-3</v>
      </c>
      <c r="Z262" s="72"/>
      <c r="AA262" s="74">
        <f>V235</f>
        <v>21</v>
      </c>
      <c r="AB262" s="74">
        <f>W235</f>
        <v>0</v>
      </c>
      <c r="AC262" s="74">
        <f>X235</f>
        <v>0</v>
      </c>
      <c r="AD262" s="72"/>
      <c r="AE262" s="74">
        <f>AC251</f>
        <v>0.15789474376731275</v>
      </c>
      <c r="AF262" s="74">
        <f>AD251</f>
        <v>0.15789474376731275</v>
      </c>
      <c r="AG262" s="74">
        <f>AE251</f>
        <v>0.94736846260387653</v>
      </c>
      <c r="AH262" s="72"/>
      <c r="AI262" s="72"/>
      <c r="AJ262" s="72"/>
      <c r="AK262" s="72"/>
      <c r="AL262" s="72"/>
    </row>
    <row r="263" spans="2:38" x14ac:dyDescent="0.3"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T263" s="72"/>
      <c r="U263" s="72"/>
      <c r="V263" s="84" t="s">
        <v>151</v>
      </c>
      <c r="W263" s="74">
        <f>V228</f>
        <v>0.16666640277779979</v>
      </c>
      <c r="X263" s="74">
        <f>W228</f>
        <v>-1</v>
      </c>
      <c r="Y263" s="74">
        <f>X228</f>
        <v>-3</v>
      </c>
      <c r="Z263" s="84" t="s">
        <v>233</v>
      </c>
      <c r="AA263" s="74">
        <f>V236</f>
        <v>0</v>
      </c>
      <c r="AB263" s="74">
        <f>W236</f>
        <v>1</v>
      </c>
      <c r="AC263" s="74">
        <f>X236</f>
        <v>0</v>
      </c>
      <c r="AD263" s="84" t="s">
        <v>233</v>
      </c>
      <c r="AE263" s="74">
        <f>AC252</f>
        <v>0.49999998026315867</v>
      </c>
      <c r="AF263" s="74">
        <f>AD252</f>
        <v>-0.50000001973684127</v>
      </c>
      <c r="AG263" s="74">
        <f>AE252</f>
        <v>0</v>
      </c>
      <c r="AH263" s="72"/>
      <c r="AI263" s="72"/>
      <c r="AJ263" s="72"/>
      <c r="AK263" s="72"/>
      <c r="AL263" s="72"/>
    </row>
    <row r="264" spans="2:38" x14ac:dyDescent="0.3"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T264" s="72"/>
      <c r="U264" s="72"/>
      <c r="V264" s="72"/>
      <c r="W264" s="74">
        <f>V229</f>
        <v>1</v>
      </c>
      <c r="X264" s="74">
        <f>W229</f>
        <v>0</v>
      </c>
      <c r="Y264" s="74">
        <f>X229</f>
        <v>1</v>
      </c>
      <c r="Z264" s="72"/>
      <c r="AA264" s="74">
        <f>V237</f>
        <v>0</v>
      </c>
      <c r="AB264" s="74">
        <f>W237</f>
        <v>0</v>
      </c>
      <c r="AC264" s="74">
        <f>X237</f>
        <v>2</v>
      </c>
      <c r="AD264" s="72"/>
      <c r="AE264" s="74">
        <f>AC253</f>
        <v>-0.15789474376731275</v>
      </c>
      <c r="AF264" s="74">
        <f>AD253</f>
        <v>-0.15789474376731275</v>
      </c>
      <c r="AG264" s="74">
        <f>AE253</f>
        <v>5.2631054939958358E-2</v>
      </c>
      <c r="AH264" s="72"/>
      <c r="AI264" s="72"/>
      <c r="AJ264" s="72"/>
      <c r="AK264" s="72"/>
      <c r="AL264" s="72"/>
    </row>
    <row r="265" spans="2:38" x14ac:dyDescent="0.3"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</row>
    <row r="266" spans="2:38" x14ac:dyDescent="0.3"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T266" s="72"/>
      <c r="U266" s="72"/>
      <c r="V266" s="72"/>
      <c r="W266" s="131" t="s">
        <v>234</v>
      </c>
      <c r="X266" s="131"/>
      <c r="Y266" s="131"/>
      <c r="Z266" s="132" t="s">
        <v>233</v>
      </c>
      <c r="AA266" s="131" t="s">
        <v>185</v>
      </c>
      <c r="AB266" s="131"/>
      <c r="AC266" s="131"/>
      <c r="AD266" s="72"/>
      <c r="AE266" s="72"/>
      <c r="AF266" s="72"/>
      <c r="AG266" s="72"/>
      <c r="AH266" s="72"/>
      <c r="AI266" s="72"/>
      <c r="AJ266" s="72"/>
      <c r="AK266" s="72"/>
      <c r="AL266" s="72"/>
    </row>
    <row r="267" spans="2:38" x14ac:dyDescent="0.3"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T267" s="72"/>
      <c r="U267" s="72"/>
      <c r="V267" s="72"/>
      <c r="W267" s="74" cm="1">
        <f t="array" ref="W267:Y269">MMULT(W262:Y264,AA262:AC264)</f>
        <v>3.4999997083333572</v>
      </c>
      <c r="X267" s="74">
        <v>1</v>
      </c>
      <c r="Y267" s="74">
        <v>-6</v>
      </c>
      <c r="Z267" s="72"/>
      <c r="AA267" s="74">
        <f>AE262</f>
        <v>0.15789474376731275</v>
      </c>
      <c r="AB267" s="74">
        <f>AF262</f>
        <v>0.15789474376731275</v>
      </c>
      <c r="AC267" s="74">
        <f>AG262</f>
        <v>0.94736846260387653</v>
      </c>
      <c r="AD267" s="72"/>
      <c r="AE267" s="72"/>
      <c r="AF267" s="72"/>
      <c r="AG267" s="72"/>
      <c r="AH267" s="72"/>
      <c r="AI267" s="72"/>
      <c r="AJ267" s="72"/>
      <c r="AK267" s="72"/>
      <c r="AL267" s="72"/>
    </row>
    <row r="268" spans="2:38" x14ac:dyDescent="0.3"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T268" s="72"/>
      <c r="U268" s="72"/>
      <c r="V268" s="84" t="s">
        <v>151</v>
      </c>
      <c r="W268" s="74">
        <v>3.4999944583337954</v>
      </c>
      <c r="X268" s="74">
        <v>-1</v>
      </c>
      <c r="Y268" s="74">
        <v>-6</v>
      </c>
      <c r="Z268" s="84" t="s">
        <v>233</v>
      </c>
      <c r="AA268" s="74">
        <f>AE263</f>
        <v>0.49999998026315867</v>
      </c>
      <c r="AB268" s="74">
        <f>AF263</f>
        <v>-0.50000001973684127</v>
      </c>
      <c r="AC268" s="74">
        <f>AG263</f>
        <v>0</v>
      </c>
      <c r="AD268" s="72"/>
      <c r="AE268" s="72"/>
      <c r="AF268" s="72"/>
      <c r="AG268" s="72"/>
      <c r="AH268" s="72"/>
      <c r="AI268" s="72"/>
      <c r="AJ268" s="72"/>
      <c r="AK268" s="72"/>
      <c r="AL268" s="72"/>
    </row>
    <row r="269" spans="2:38" x14ac:dyDescent="0.3"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T269" s="72"/>
      <c r="U269" s="72"/>
      <c r="V269" s="72"/>
      <c r="W269" s="74">
        <v>21</v>
      </c>
      <c r="X269" s="74">
        <v>0</v>
      </c>
      <c r="Y269" s="74">
        <v>2</v>
      </c>
      <c r="Z269" s="72"/>
      <c r="AA269" s="74">
        <f>AE264</f>
        <v>-0.15789474376731275</v>
      </c>
      <c r="AB269" s="74">
        <f>AF264</f>
        <v>-0.15789474376731275</v>
      </c>
      <c r="AC269" s="74">
        <f>AG264</f>
        <v>5.2631054939958358E-2</v>
      </c>
      <c r="AD269" s="72"/>
      <c r="AE269" s="72"/>
      <c r="AF269" s="72"/>
      <c r="AG269" s="72"/>
      <c r="AH269" s="72"/>
      <c r="AI269" s="72"/>
      <c r="AJ269" s="72"/>
      <c r="AK269" s="72"/>
      <c r="AL269" s="72"/>
    </row>
    <row r="270" spans="2:38" x14ac:dyDescent="0.3"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</row>
    <row r="271" spans="2:38" x14ac:dyDescent="0.3">
      <c r="T271" s="72"/>
      <c r="U271" s="72"/>
      <c r="V271" s="72"/>
      <c r="W271" s="131" t="s">
        <v>232</v>
      </c>
      <c r="X271" s="131"/>
      <c r="Y271" s="131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</row>
    <row r="272" spans="2:38" x14ac:dyDescent="0.3">
      <c r="T272" s="72"/>
      <c r="U272" s="72"/>
      <c r="V272" s="72"/>
      <c r="W272" s="74" cm="1">
        <f t="array" ref="W272:Y274">MMULT(W267:Y269,AA267:AC269)</f>
        <v>2</v>
      </c>
      <c r="X272" s="74">
        <v>1</v>
      </c>
      <c r="Y272" s="74">
        <v>3.0000030131580386</v>
      </c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</row>
    <row r="273" spans="20:38" x14ac:dyDescent="0.3">
      <c r="T273" s="72"/>
      <c r="U273" s="72"/>
      <c r="V273" s="84" t="s">
        <v>151</v>
      </c>
      <c r="W273" s="74">
        <v>0.9999992105263471</v>
      </c>
      <c r="X273" s="74">
        <v>1.9999992105263469</v>
      </c>
      <c r="Y273" s="74">
        <v>2.9999980394740251</v>
      </c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</row>
    <row r="274" spans="20:38" x14ac:dyDescent="0.3">
      <c r="T274" s="72"/>
      <c r="U274" s="72"/>
      <c r="V274" s="72"/>
      <c r="W274" s="74">
        <v>3.000000131578942</v>
      </c>
      <c r="X274" s="74">
        <v>3.000000131578942</v>
      </c>
      <c r="Y274" s="74">
        <v>19.999999824561325</v>
      </c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</row>
    <row r="275" spans="20:38" x14ac:dyDescent="0.3"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</row>
  </sheetData>
  <mergeCells count="180">
    <mergeCell ref="AF123:AF125"/>
    <mergeCell ref="AE127:AE129"/>
    <mergeCell ref="AA131:AA133"/>
    <mergeCell ref="U138:W138"/>
    <mergeCell ref="U140:U142"/>
    <mergeCell ref="V216:X216"/>
    <mergeCell ref="V217:AA217"/>
    <mergeCell ref="V218:AC218"/>
    <mergeCell ref="V219:X219"/>
    <mergeCell ref="W261:Y261"/>
    <mergeCell ref="AE261:AG261"/>
    <mergeCell ref="AA261:AC261"/>
    <mergeCell ref="AA266:AC266"/>
    <mergeCell ref="W266:Y266"/>
    <mergeCell ref="T22:W22"/>
    <mergeCell ref="T111:V111"/>
    <mergeCell ref="T52:Z52"/>
    <mergeCell ref="T136:Y136"/>
    <mergeCell ref="Z123:Z125"/>
    <mergeCell ref="U113:Y113"/>
    <mergeCell ref="U121:X121"/>
    <mergeCell ref="W118:X118"/>
    <mergeCell ref="AA140:AA142"/>
    <mergeCell ref="G61:G62"/>
    <mergeCell ref="B15:B16"/>
    <mergeCell ref="Y140:Y142"/>
    <mergeCell ref="D45:D46"/>
    <mergeCell ref="D121:E121"/>
    <mergeCell ref="G121:H121"/>
    <mergeCell ref="F118:F119"/>
    <mergeCell ref="I118:I119"/>
    <mergeCell ref="F122:F123"/>
    <mergeCell ref="C125:C126"/>
    <mergeCell ref="B5:D5"/>
    <mergeCell ref="B7:D7"/>
    <mergeCell ref="B9:B10"/>
    <mergeCell ref="E9:E10"/>
    <mergeCell ref="F9:F10"/>
    <mergeCell ref="B12:B13"/>
    <mergeCell ref="E12:E13"/>
    <mergeCell ref="C86:E86"/>
    <mergeCell ref="B102:B103"/>
    <mergeCell ref="H88:L88"/>
    <mergeCell ref="G45:G46"/>
    <mergeCell ref="B48:D48"/>
    <mergeCell ref="B56:B57"/>
    <mergeCell ref="C56:C57"/>
    <mergeCell ref="B59:D59"/>
    <mergeCell ref="D61:D62"/>
    <mergeCell ref="F61:F62"/>
    <mergeCell ref="U221:U223"/>
    <mergeCell ref="U227:U229"/>
    <mergeCell ref="U231:U233"/>
    <mergeCell ref="AA223:AA225"/>
    <mergeCell ref="U123:U125"/>
    <mergeCell ref="AD123:AD125"/>
    <mergeCell ref="U127:U129"/>
    <mergeCell ref="U131:U133"/>
    <mergeCell ref="AC127:AC129"/>
    <mergeCell ref="Y123:Y125"/>
    <mergeCell ref="W271:Y271"/>
    <mergeCell ref="U235:U237"/>
    <mergeCell ref="AC249:AE249"/>
    <mergeCell ref="AA221:AG221"/>
    <mergeCell ref="AA235:AA237"/>
    <mergeCell ref="AA239:AA241"/>
    <mergeCell ref="AA243:AA245"/>
    <mergeCell ref="AA251:AA253"/>
    <mergeCell ref="U239:U241"/>
    <mergeCell ref="AB251:AB253"/>
    <mergeCell ref="AE138:AG138"/>
    <mergeCell ref="AE140:AE142"/>
    <mergeCell ref="AI140:AI142"/>
    <mergeCell ref="AK140:AK142"/>
    <mergeCell ref="E15:E16"/>
    <mergeCell ref="F15:F16"/>
    <mergeCell ref="Y127:Y129"/>
    <mergeCell ref="Y131:Y133"/>
    <mergeCell ref="U45:W45"/>
    <mergeCell ref="B75:J75"/>
    <mergeCell ref="AO138:AQ138"/>
    <mergeCell ref="AO140:AO142"/>
    <mergeCell ref="AS140:AS142"/>
    <mergeCell ref="AU140:AU142"/>
    <mergeCell ref="AO144:AR144"/>
    <mergeCell ref="AO150:AT150"/>
    <mergeCell ref="AD35:AE35"/>
    <mergeCell ref="U41:V41"/>
    <mergeCell ref="Z30:Z31"/>
    <mergeCell ref="AA30:AA31"/>
    <mergeCell ref="W30:W31"/>
    <mergeCell ref="V30:V31"/>
    <mergeCell ref="U30:U31"/>
    <mergeCell ref="AC9:AC11"/>
    <mergeCell ref="AS30:AS31"/>
    <mergeCell ref="AT30:AT31"/>
    <mergeCell ref="U54:Z54"/>
    <mergeCell ref="U56:Y56"/>
    <mergeCell ref="U37:X37"/>
    <mergeCell ref="Z37:AC37"/>
    <mergeCell ref="AE37:AH37"/>
    <mergeCell ref="U39:X39"/>
    <mergeCell ref="V35:W35"/>
    <mergeCell ref="AE30:AE31"/>
    <mergeCell ref="AF30:AF31"/>
    <mergeCell ref="AI30:AI31"/>
    <mergeCell ref="AJ30:AJ31"/>
    <mergeCell ref="AK30:AK31"/>
    <mergeCell ref="X17:X19"/>
    <mergeCell ref="Y17:Y19"/>
    <mergeCell ref="Z17:Z19"/>
    <mergeCell ref="G15:G16"/>
    <mergeCell ref="AU30:AU31"/>
    <mergeCell ref="AL30:AL31"/>
    <mergeCell ref="AN30:AN31"/>
    <mergeCell ref="AM30:AM31"/>
    <mergeCell ref="AO30:AO31"/>
    <mergeCell ref="AR30:AR31"/>
    <mergeCell ref="AB30:AB31"/>
    <mergeCell ref="AC30:AC31"/>
    <mergeCell ref="AD30:AD31"/>
    <mergeCell ref="I9:I10"/>
    <mergeCell ref="J9:J10"/>
    <mergeCell ref="K9:K10"/>
    <mergeCell ref="H12:H13"/>
    <mergeCell ref="I12:I13"/>
    <mergeCell ref="J12:J13"/>
    <mergeCell ref="G3:I3"/>
    <mergeCell ref="AA3:AC3"/>
    <mergeCell ref="AD9:AD11"/>
    <mergeCell ref="AE9:AE11"/>
    <mergeCell ref="X13:X15"/>
    <mergeCell ref="AB13:AB15"/>
    <mergeCell ref="AC13:AC15"/>
    <mergeCell ref="AD13:AD15"/>
    <mergeCell ref="X9:X11"/>
    <mergeCell ref="Y9:Y11"/>
    <mergeCell ref="B64:D64"/>
    <mergeCell ref="B20:E20"/>
    <mergeCell ref="B22:D22"/>
    <mergeCell ref="B34:D34"/>
    <mergeCell ref="B36:J36"/>
    <mergeCell ref="D40:D41"/>
    <mergeCell ref="F40:F41"/>
    <mergeCell ref="G40:G41"/>
    <mergeCell ref="B43:D43"/>
    <mergeCell ref="D117:E117"/>
    <mergeCell ref="G117:H117"/>
    <mergeCell ref="J117:K117"/>
    <mergeCell ref="T9:T11"/>
    <mergeCell ref="T13:T15"/>
    <mergeCell ref="T17:T19"/>
    <mergeCell ref="T30:T31"/>
    <mergeCell ref="G31:I32"/>
    <mergeCell ref="F45:F46"/>
    <mergeCell ref="J106:L106"/>
    <mergeCell ref="U82:AF82"/>
    <mergeCell ref="U84:U85"/>
    <mergeCell ref="B96:B97"/>
    <mergeCell ref="H108:H109"/>
    <mergeCell ref="I108:I109"/>
    <mergeCell ref="B88:B89"/>
    <mergeCell ref="B93:B94"/>
    <mergeCell ref="C83:E83"/>
    <mergeCell ref="C84:H84"/>
    <mergeCell ref="C85:J85"/>
    <mergeCell ref="Y102:Y103"/>
    <mergeCell ref="Z102:Z103"/>
    <mergeCell ref="U90:U91"/>
    <mergeCell ref="AB90:AC90"/>
    <mergeCell ref="U95:U96"/>
    <mergeCell ref="U100:AC100"/>
    <mergeCell ref="U60:X60"/>
    <mergeCell ref="U70:X70"/>
    <mergeCell ref="U72:W72"/>
    <mergeCell ref="U76:AB76"/>
    <mergeCell ref="U78:W78"/>
    <mergeCell ref="Z35:AA35"/>
    <mergeCell ref="T5:V5"/>
    <mergeCell ref="T7:Y7"/>
  </mergeCells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Page</vt:lpstr>
      <vt:lpstr>DETERMINANT AND INVERSE MATRIX</vt:lpstr>
      <vt:lpstr>2x2 Row Ops</vt:lpstr>
      <vt:lpstr>3x3 Row Ops</vt:lpstr>
      <vt:lpstr>4x4 Row Ops</vt:lpstr>
      <vt:lpstr>ROW OPERATIONS</vt:lpstr>
      <vt:lpstr>CROUT METHOD</vt:lpstr>
      <vt:lpstr>DOLITTLE METHOD</vt:lpstr>
      <vt:lpstr>SOLVABILITY</vt:lpstr>
      <vt:lpstr>GAUSSE-SEIDEL</vt:lpstr>
      <vt:lpstr>GAUSSE-JACOBI</vt:lpstr>
      <vt:lpstr>2x2 Matrix Power</vt:lpstr>
      <vt:lpstr>3x3 MATRIX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Harshil Dookhy</cp:lastModifiedBy>
  <cp:lastPrinted>2025-09-29T09:32:18Z</cp:lastPrinted>
  <dcterms:created xsi:type="dcterms:W3CDTF">2025-09-07T16:36:54Z</dcterms:created>
  <dcterms:modified xsi:type="dcterms:W3CDTF">2025-09-30T17:00:04Z</dcterms:modified>
</cp:coreProperties>
</file>